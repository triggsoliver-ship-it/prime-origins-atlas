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_Control" sheetId="1" state="visible" r:id="rId3"/>
    <sheet name="1_Assumptions" sheetId="2" state="visible" r:id="rId4"/>
    <sheet name="2_Monthly_Model" sheetId="3" state="visible" r:id="rId5"/>
    <sheet name="3_Annual_Summary" sheetId="4" state="visible" r:id="rId6"/>
    <sheet name="4_Use_of_Funds" sheetId="5" state="visible" r:id="rId7"/>
    <sheet name="5_Scenarios_Stress" sheetId="6" state="visible" r:id="rId8"/>
    <sheet name="6_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<sst xmlns="http://schemas.openxmlformats.org/spreadsheetml/2006/main" count="512" uniqueCount="356">
  <si>
    <t xml:space="preserve">PRIME ORIGINS — CALIFORNIA HASH + MOROCCAN IMPORT MODEL</t>
  </si>
  <si>
    <t xml:space="preserve">v1.0 · June 2026 · USD · 36-month engine · Logic adapted from Seed-to-Shelf May 28 USD model v0.7</t>
  </si>
  <si>
    <t xml:space="preserve">Setting</t>
  </si>
  <si>
    <t xml:space="preserve">Value</t>
  </si>
  <si>
    <t xml:space="preserve">Notes</t>
  </si>
  <si>
    <t xml:space="preserve">Scenario (1 = Case A California only · 2 = Case B + Moroccan imports)</t>
  </si>
  <si>
    <t xml:space="preserve">Blue input — switch cases</t>
  </si>
  <si>
    <t xml:space="preserve">Model start month</t>
  </si>
  <si>
    <t xml:space="preserve">M1 = Jan 2027</t>
  </si>
  <si>
    <t xml:space="preserve">Round close assumed M1</t>
  </si>
  <si>
    <t xml:space="preserve">Model months</t>
  </si>
  <si>
    <t xml:space="preserve">Reporting currency</t>
  </si>
  <si>
    <t xml:space="preserve">USD</t>
  </si>
  <si>
    <t xml:space="preserve">Equity raise (SAFE)</t>
  </si>
  <si>
    <t xml:space="preserve">Per investor deck</t>
  </si>
  <si>
    <t xml:space="preserve">ASSUMPTIONS REGISTRY</t>
  </si>
  <si>
    <t xml:space="preserve">Blue = hardcoded input. Black = derived formula. Sources: Vista Ranch Phase 1 cultivation model (per investor deck, Jun 2026); estimates flagged for diligence.</t>
  </si>
  <si>
    <t xml:space="preserve">ID</t>
  </si>
  <si>
    <t xml:space="preserve">Family</t>
  </si>
  <si>
    <t xml:space="preserve">Assumption</t>
  </si>
  <si>
    <t xml:space="preserve">Unit</t>
  </si>
  <si>
    <t xml:space="preserve">Source / Notes</t>
  </si>
  <si>
    <t xml:space="preserve">BUD_LBS_S1</t>
  </si>
  <si>
    <t xml:space="preserve">Production</t>
  </si>
  <si>
    <t xml:space="preserve">Season 1 bud harvest</t>
  </si>
  <si>
    <t xml:space="preserve">lbs</t>
  </si>
  <si>
    <t xml:space="preserve">Per investor deck — Vista Ranch Phase 1 (60,000 sq ft)</t>
  </si>
  <si>
    <t xml:space="preserve">TRIM_LBS_S1</t>
  </si>
  <si>
    <t xml:space="preserve">Season 1 trim (+40% of bud)</t>
  </si>
  <si>
    <t xml:space="preserve">Derived — 40% of bud</t>
  </si>
  <si>
    <t xml:space="preserve">SPLIT_LARGE</t>
  </si>
  <si>
    <t xml:space="preserve">Grade split — larges</t>
  </si>
  <si>
    <t xml:space="preserve">% of bud</t>
  </si>
  <si>
    <t xml:space="preserve">Per deck</t>
  </si>
  <si>
    <t xml:space="preserve">SPLIT_MED</t>
  </si>
  <si>
    <t xml:space="preserve">Grade split — mediums</t>
  </si>
  <si>
    <t xml:space="preserve">SPLIT_SMALL</t>
  </si>
  <si>
    <t xml:space="preserve">Grade split — smalls</t>
  </si>
  <si>
    <t xml:space="preserve">S2_SCALE</t>
  </si>
  <si>
    <t xml:space="preserve">Season 2 scale factor</t>
  </si>
  <si>
    <t xml:space="preserve">x</t>
  </si>
  <si>
    <t xml:space="preserve">Canopy efficiency + genetics — estimate</t>
  </si>
  <si>
    <t xml:space="preserve">S3_SCALE</t>
  </si>
  <si>
    <t xml:space="preserve">Season 3 scale factor</t>
  </si>
  <si>
    <t xml:space="preserve">Estimate</t>
  </si>
  <si>
    <t xml:space="preserve">G_PER_LB</t>
  </si>
  <si>
    <t xml:space="preserve">Grams per pound</t>
  </si>
  <si>
    <t xml:space="preserve">g/lb</t>
  </si>
  <si>
    <t xml:space="preserve">Constant</t>
  </si>
  <si>
    <t xml:space="preserve">JARS_PER_LB</t>
  </si>
  <si>
    <t xml:space="preserve">Conversion</t>
  </si>
  <si>
    <t xml:space="preserve">Quarter-oz jars per lb (larges)</t>
  </si>
  <si>
    <t xml:space="preserve">units/lb</t>
  </si>
  <si>
    <t xml:space="preserve">Vista Ranch model (incl. handling loss)</t>
  </si>
  <si>
    <t xml:space="preserve">ROSIN_G_PER_LB</t>
  </si>
  <si>
    <t xml:space="preserve">Rosin g per lb (mediums)</t>
  </si>
  <si>
    <t xml:space="preserve">~15% solventless yield — Vista Ranch model</t>
  </si>
  <si>
    <t xml:space="preserve">PREROLL_POOL_PCT</t>
  </si>
  <si>
    <t xml:space="preserve">Smalls+trim pool to pre-roll flower</t>
  </si>
  <si>
    <t xml:space="preserve">%</t>
  </si>
  <si>
    <t xml:space="preserve">Vista Ranch model</t>
  </si>
  <si>
    <t xml:space="preserve">HASH_POOL_PCT</t>
  </si>
  <si>
    <t xml:space="preserve">Smalls+trim pool to hash input</t>
  </si>
  <si>
    <t xml:space="preserve">PREROLL_G</t>
  </si>
  <si>
    <t xml:space="preserve">Flower per pre-roll</t>
  </si>
  <si>
    <t xml:space="preserve">g/unit</t>
  </si>
  <si>
    <t xml:space="preserve">HASH_YIELD_PCT</t>
  </si>
  <si>
    <t xml:space="preserve">Hash yield on input flower</t>
  </si>
  <si>
    <t xml:space="preserve">Ice-water hash return — Vista Ranch model</t>
  </si>
  <si>
    <t xml:space="preserve">PRICE_JAR</t>
  </si>
  <si>
    <t xml:space="preserve">Pricing</t>
  </si>
  <si>
    <t xml:space="preserve">Quarter-oz flower jar (blended realised)</t>
  </si>
  <si>
    <t xml:space="preserve">USD/unit</t>
  </si>
  <si>
    <t xml:space="preserve">Per deck — blended across B2C/B2B mix</t>
  </si>
  <si>
    <t xml:space="preserve">PRICE_ROSIN_G</t>
  </si>
  <si>
    <t xml:space="preserve">Rosin / concentrates (blended realised)</t>
  </si>
  <si>
    <t xml:space="preserve">USD/g</t>
  </si>
  <si>
    <t xml:space="preserve">Per deck — blended</t>
  </si>
  <si>
    <t xml:space="preserve">PRICE_HASH_G</t>
  </si>
  <si>
    <t xml:space="preserve">Craft hash (blended realised)</t>
  </si>
  <si>
    <t xml:space="preserve">PRICE_PREROLL</t>
  </si>
  <si>
    <t xml:space="preserve">Pre-roll (blended realised)</t>
  </si>
  <si>
    <t xml:space="preserve">B2C_SHARE</t>
  </si>
  <si>
    <t xml:space="preserve">Channel</t>
  </si>
  <si>
    <t xml:space="preserve">B2C share of volume (direct retail)</t>
  </si>
  <si>
    <t xml:space="preserve">Per Oli — 50/50 B2B wholesale / B2C</t>
  </si>
  <si>
    <t xml:space="preserve">WS_PRICE_PCT</t>
  </si>
  <si>
    <t xml:space="preserve">B2B wholesale price as % of retail</t>
  </si>
  <si>
    <t xml:space="preserve">Best guess — typical distributor/retailer margin stack</t>
  </si>
  <si>
    <t xml:space="preserve">B2B_DIST_PCT</t>
  </si>
  <si>
    <t xml:space="preserve">B2B selling &amp; distribution % of B2B revenue</t>
  </si>
  <si>
    <t xml:space="preserve">Licensed distributor fee — estimate</t>
  </si>
  <si>
    <t xml:space="preserve">B2C_FULFIL_PCT</t>
  </si>
  <si>
    <t xml:space="preserve">B2C fulfilment &amp; retail cost % of B2C revenue</t>
  </si>
  <si>
    <t xml:space="preserve">Payments, fulfilment, retail compliance — estimate</t>
  </si>
  <si>
    <t xml:space="preserve">BLEND_FACTOR</t>
  </si>
  <si>
    <t xml:space="preserve">Blended price as % of retail (for implied-price maths)</t>
  </si>
  <si>
    <t xml:space="preserve">Derived — 50/50 mix</t>
  </si>
  <si>
    <t xml:space="preserve">SELL_PCT_BLEND</t>
  </si>
  <si>
    <t xml:space="preserve">Blended selling cost % of realised revenue</t>
  </si>
  <si>
    <t xml:space="preserve">Revenue-weighted across channels</t>
  </si>
  <si>
    <t xml:space="preserve">RETAIL_JAR</t>
  </si>
  <si>
    <t xml:space="preserve">Implied B2C retail price — jar</t>
  </si>
  <si>
    <t xml:space="preserve">Deck blended ÷ blend factor</t>
  </si>
  <si>
    <t xml:space="preserve">RETAIL_ROSIN</t>
  </si>
  <si>
    <t xml:space="preserve">Implied B2C retail price — rosin</t>
  </si>
  <si>
    <t xml:space="preserve">RETAIL_HASH</t>
  </si>
  <si>
    <t xml:space="preserve">Implied B2C retail price — hash</t>
  </si>
  <si>
    <t xml:space="preserve">RETAIL_PREROLL</t>
  </si>
  <si>
    <t xml:space="preserve">Implied B2C retail price — pre-roll</t>
  </si>
  <si>
    <t xml:space="preserve">WS_JAR</t>
  </si>
  <si>
    <t xml:space="preserve">Implied B2B wholesale price — jar</t>
  </si>
  <si>
    <t xml:space="preserve">Retail × wholesale %</t>
  </si>
  <si>
    <t xml:space="preserve">AGRI_MONTH</t>
  </si>
  <si>
    <t xml:space="preserve">Agritourism &amp; seeds per month</t>
  </si>
  <si>
    <t xml:space="preserve">USD/mo</t>
  </si>
  <si>
    <t xml:space="preserve">$0.29M over Phase 1 — per deck</t>
  </si>
  <si>
    <t xml:space="preserve">AGRI_START_M</t>
  </si>
  <si>
    <t xml:space="preserve">Timing</t>
  </si>
  <si>
    <t xml:space="preserve">Agritourism start month</t>
  </si>
  <si>
    <t xml:space="preserve">month #</t>
  </si>
  <si>
    <t xml:space="preserve">Post-build</t>
  </si>
  <si>
    <t xml:space="preserve">SALES_START_S1</t>
  </si>
  <si>
    <t xml:space="preserve">Season 1 sales start month</t>
  </si>
  <si>
    <t xml:space="preserve">Harvest M10 → first sales M11</t>
  </si>
  <si>
    <t xml:space="preserve">SALES_MONTHS</t>
  </si>
  <si>
    <t xml:space="preserve">Sales window per season</t>
  </si>
  <si>
    <t xml:space="preserve">months</t>
  </si>
  <si>
    <t xml:space="preserve">Sell-through period</t>
  </si>
  <si>
    <t xml:space="preserve">SALES_START_S2</t>
  </si>
  <si>
    <t xml:space="preserve">Season 2 sales start month</t>
  </si>
  <si>
    <t xml:space="preserve">SALES_START_S3</t>
  </si>
  <si>
    <t xml:space="preserve">Season 3 sales start month</t>
  </si>
  <si>
    <t xml:space="preserve">Partial within 36-month engine</t>
  </si>
  <si>
    <t xml:space="preserve">CULT_START_S1</t>
  </si>
  <si>
    <t xml:space="preserve">Season 1 cultivation cost start</t>
  </si>
  <si>
    <t xml:space="preserve">CULT_MONTHS</t>
  </si>
  <si>
    <t xml:space="preserve">Cultivation cost window</t>
  </si>
  <si>
    <t xml:space="preserve">Plant → harvest</t>
  </si>
  <si>
    <t xml:space="preserve">IMP_START_M</t>
  </si>
  <si>
    <t xml:space="preserve">Import</t>
  </si>
  <si>
    <t xml:space="preserve">Moroccan import sales start month</t>
  </si>
  <si>
    <t xml:space="preserve">Subject to regulatory pathway — diligence item</t>
  </si>
  <si>
    <t xml:space="preserve">IMP_KG_Y1</t>
  </si>
  <si>
    <t xml:space="preserve">Import volume M13–M18</t>
  </si>
  <si>
    <t xml:space="preserve">kg/mo</t>
  </si>
  <si>
    <t xml:space="preserve">Estimate — partner capacity</t>
  </si>
  <si>
    <t xml:space="preserve">IMP_KG_Y2</t>
  </si>
  <si>
    <t xml:space="preserve">Import volume M19–M30</t>
  </si>
  <si>
    <t xml:space="preserve">IMP_KG_Y3</t>
  </si>
  <si>
    <t xml:space="preserve">Import volume M31–M36</t>
  </si>
  <si>
    <t xml:space="preserve">IMP_PRICE_G</t>
  </si>
  <si>
    <t xml:space="preserve">Moroccan hash price (blended realised)</t>
  </si>
  <si>
    <t xml:space="preserve">Best guess — $14/g retail, $7/g wholesale, 50/50 mix</t>
  </si>
  <si>
    <t xml:space="preserve">IMP_COST_G</t>
  </si>
  <si>
    <t xml:space="preserve">Landed cost (product+freight+duty+compliance)</t>
  </si>
  <si>
    <t xml:space="preserve">Estimate — confirm with partners</t>
  </si>
  <si>
    <t xml:space="preserve">IMP_COMPLIANCE_MONTH</t>
  </si>
  <si>
    <t xml:space="preserve">Import compliance &amp; docs per month</t>
  </si>
  <si>
    <t xml:space="preserve">CULT_COST_SEASON</t>
  </si>
  <si>
    <t xml:space="preserve">COGS</t>
  </si>
  <si>
    <t xml:space="preserve">Cultivation direct cost per season (S1)</t>
  </si>
  <si>
    <t xml:space="preserve">USD/season</t>
  </si>
  <si>
    <t xml:space="preserve">$8/sq ft × 60,000 — estimate</t>
  </si>
  <si>
    <t xml:space="preserve">PACK_JAR</t>
  </si>
  <si>
    <t xml:space="preserve">Jar fill &amp; pack</t>
  </si>
  <si>
    <t xml:space="preserve">PACK_PREROLL</t>
  </si>
  <si>
    <t xml:space="preserve">Pre-roll produce &amp; pack</t>
  </si>
  <si>
    <t xml:space="preserve">PROC_ROSIN_G</t>
  </si>
  <si>
    <t xml:space="preserve">Rosin processing</t>
  </si>
  <si>
    <t xml:space="preserve">PROC_HASH_G</t>
  </si>
  <si>
    <t xml:space="preserve">Hash processing</t>
  </si>
  <si>
    <t xml:space="preserve">TEST_SEASON</t>
  </si>
  <si>
    <t xml:space="preserve">Testing &amp; compliance per season</t>
  </si>
  <si>
    <t xml:space="preserve">COAs, batch QA — estimate</t>
  </si>
  <si>
    <t xml:space="preserve">STAFF_MONTH</t>
  </si>
  <si>
    <t xml:space="preserve">Opex</t>
  </si>
  <si>
    <t xml:space="preserve">Core team monthly (full)</t>
  </si>
  <si>
    <t xml:space="preserve">GM, head grower, ops×2, sales×2, admin — estimate</t>
  </si>
  <si>
    <t xml:space="preserve">STAFF_RAMP_EARLY</t>
  </si>
  <si>
    <t xml:space="preserve">Staff ramp M1–M6</t>
  </si>
  <si>
    <t xml:space="preserve">Build phase — logic from v0.7 staff ramp</t>
  </si>
  <si>
    <t xml:space="preserve">GA_MONTH</t>
  </si>
  <si>
    <t xml:space="preserve">G&amp;A fixed (rent, insurance, professional, platform)</t>
  </si>
  <si>
    <t xml:space="preserve">MKT_MONTH</t>
  </si>
  <si>
    <t xml:space="preserve">Brand &amp; marketing per month</t>
  </si>
  <si>
    <t xml:space="preserve">From launch</t>
  </si>
  <si>
    <t xml:space="preserve">MKT_START_M</t>
  </si>
  <si>
    <t xml:space="preserve">Marketing start month</t>
  </si>
  <si>
    <t xml:space="preserve">OPEX_CONT_PCT</t>
  </si>
  <si>
    <t xml:space="preserve">Opex contingency</t>
  </si>
  <si>
    <t xml:space="preserve">Carried over from v0.7</t>
  </si>
  <si>
    <t xml:space="preserve">CAPEX_TOTAL</t>
  </si>
  <si>
    <t xml:space="preserve">Capex</t>
  </si>
  <si>
    <t xml:space="preserve">Facility build-out &amp; processing equipment</t>
  </si>
  <si>
    <t xml:space="preserve">Within $1.75M CA allocation — estimate</t>
  </si>
  <si>
    <t xml:space="preserve">CAPEX_START_M</t>
  </si>
  <si>
    <t xml:space="preserve">Capex start month</t>
  </si>
  <si>
    <t xml:space="preserve">CAPEX_MONTHS</t>
  </si>
  <si>
    <t xml:space="preserve">Capex spread</t>
  </si>
  <si>
    <t xml:space="preserve">M2–M6</t>
  </si>
  <si>
    <t xml:space="preserve">DSO_DAYS</t>
  </si>
  <si>
    <t xml:space="preserve">WC</t>
  </si>
  <si>
    <t xml:space="preserve">Receivable days</t>
  </si>
  <si>
    <t xml:space="preserve">days</t>
  </si>
  <si>
    <t xml:space="preserve">DPO_DAYS</t>
  </si>
  <si>
    <t xml:space="preserve">Payable days</t>
  </si>
  <si>
    <t xml:space="preserve">TAX_RATE</t>
  </si>
  <si>
    <t xml:space="preserve">Tax</t>
  </si>
  <si>
    <t xml:space="preserve">Effective tax rate</t>
  </si>
  <si>
    <t xml:space="preserve">Simplified — note 280E exposure for diligence</t>
  </si>
  <si>
    <t xml:space="preserve">DISC_RATE</t>
  </si>
  <si>
    <t xml:space="preserve">Valuation</t>
  </si>
  <si>
    <t xml:space="preserve">Discount rate (annual)</t>
  </si>
  <si>
    <t xml:space="preserve">EBITDA_MULT</t>
  </si>
  <si>
    <t xml:space="preserve">EV / EBITDA reference multiple</t>
  </si>
  <si>
    <t xml:space="preserve">LARGES_LBS</t>
  </si>
  <si>
    <t xml:space="preserve">Derived</t>
  </si>
  <si>
    <t xml:space="preserve">Larges lbs (S1)</t>
  </si>
  <si>
    <t xml:space="preserve">MED_LBS</t>
  </si>
  <si>
    <t xml:space="preserve">Mediums lbs (S1)</t>
  </si>
  <si>
    <t xml:space="preserve">SMALLS_LBS</t>
  </si>
  <si>
    <t xml:space="preserve">Smalls lbs (S1)</t>
  </si>
  <si>
    <t xml:space="preserve">POOL_LBS</t>
  </si>
  <si>
    <t xml:space="preserve">Hash &amp; pre-roll pool (smalls+trim)</t>
  </si>
  <si>
    <t xml:space="preserve">JARS_SEASON</t>
  </si>
  <si>
    <t xml:space="preserve">Jars per season (S1)</t>
  </si>
  <si>
    <t xml:space="preserve">units</t>
  </si>
  <si>
    <t xml:space="preserve">ROSIN_G_SEASON</t>
  </si>
  <si>
    <t xml:space="preserve">Rosin g per season (S1)</t>
  </si>
  <si>
    <t xml:space="preserve">g</t>
  </si>
  <si>
    <t xml:space="preserve">PREROLL_SEASON</t>
  </si>
  <si>
    <t xml:space="preserve">Pre-rolls per season (S1)</t>
  </si>
  <si>
    <t xml:space="preserve">HASH_G_SEASON</t>
  </si>
  <si>
    <t xml:space="preserve">Hash g per season (S1)</t>
  </si>
  <si>
    <t xml:space="preserve">PROC_COST_SEASON</t>
  </si>
  <si>
    <t xml:space="preserve">Processing &amp; packaging per season (S1)</t>
  </si>
  <si>
    <t xml:space="preserve">REV_SEASON</t>
  </si>
  <si>
    <t xml:space="preserve">Product revenue per season (S1, realised)</t>
  </si>
  <si>
    <t xml:space="preserve">Cross-check vs deck $12.27M products</t>
  </si>
  <si>
    <t xml:space="preserve">MONTHLY MODEL — M1–M36</t>
  </si>
  <si>
    <t xml:space="preserve">Case toggle on 0_Control. All formulas; assumptions on 1_Assumptions.</t>
  </si>
  <si>
    <t xml:space="preserve">Month</t>
  </si>
  <si>
    <t xml:space="preserve">SALES &amp; PRODUCTION</t>
  </si>
  <si>
    <t xml:space="preserve">S1 sale fraction</t>
  </si>
  <si>
    <t xml:space="preserve">S2 sale fraction</t>
  </si>
  <si>
    <t xml:space="preserve">S3 sale fraction</t>
  </si>
  <si>
    <t xml:space="preserve">Season-scaled sales factor</t>
  </si>
  <si>
    <t xml:space="preserve">CALIFORNIA REVENUE</t>
  </si>
  <si>
    <t xml:space="preserve">Flower jars (units)</t>
  </si>
  <si>
    <t xml:space="preserve">Rosin (g)</t>
  </si>
  <si>
    <t xml:space="preserve">Hash (g)</t>
  </si>
  <si>
    <t xml:space="preserve">Pre-rolls (units)</t>
  </si>
  <si>
    <t xml:space="preserve">Product revenue</t>
  </si>
  <si>
    <t xml:space="preserve">Agritourism &amp; seeds</t>
  </si>
  <si>
    <t xml:space="preserve">California revenue</t>
  </si>
  <si>
    <t xml:space="preserve">MOROCCAN IMPORT (CASE B)</t>
  </si>
  <si>
    <t xml:space="preserve">Import volume (kg)</t>
  </si>
  <si>
    <t xml:space="preserve">Import revenue</t>
  </si>
  <si>
    <t xml:space="preserve">TOTAL REVENUE</t>
  </si>
  <si>
    <t xml:space="preserve">COST OF GOODS</t>
  </si>
  <si>
    <t xml:space="preserve">Cultivation direct cost</t>
  </si>
  <si>
    <t xml:space="preserve">Processing &amp; packaging</t>
  </si>
  <si>
    <t xml:space="preserve">Testing &amp; compliance</t>
  </si>
  <si>
    <t xml:space="preserve">Selling &amp; distribution (blended)</t>
  </si>
  <si>
    <t xml:space="preserve">Import landed cost</t>
  </si>
  <si>
    <t xml:space="preserve">Total COGS</t>
  </si>
  <si>
    <t xml:space="preserve">Gross profit</t>
  </si>
  <si>
    <t xml:space="preserve">OPERATING EXPENSES</t>
  </si>
  <si>
    <t xml:space="preserve">Team</t>
  </si>
  <si>
    <t xml:space="preserve">G&amp;A fixed</t>
  </si>
  <si>
    <t xml:space="preserve">Brand &amp; marketing</t>
  </si>
  <si>
    <t xml:space="preserve">Import compliance &amp; docs</t>
  </si>
  <si>
    <t xml:space="preserve">Total opex</t>
  </si>
  <si>
    <t xml:space="preserve">EBITDA</t>
  </si>
  <si>
    <t xml:space="preserve">CASH FLOW</t>
  </si>
  <si>
    <t xml:space="preserve">Δ Receivables (DSO)</t>
  </si>
  <si>
    <t xml:space="preserve">Δ Payables (DPO)</t>
  </si>
  <si>
    <t xml:space="preserve">Tax paid (annual)</t>
  </si>
  <si>
    <t xml:space="preserve">Equity in</t>
  </si>
  <si>
    <t xml:space="preserve">Net cash flow</t>
  </si>
  <si>
    <t xml:space="preserve">Cash balance</t>
  </si>
  <si>
    <t xml:space="preserve">ANNUAL &amp; PHASE 1 SUMMARY</t>
  </si>
  <si>
    <t xml:space="preserve">Phase 1 = M1–M18 (matches investor deck). Years are model years (12 months each).</t>
  </si>
  <si>
    <t xml:space="preserve">Phase 1 (M1–M18)</t>
  </si>
  <si>
    <t xml:space="preserve">Year 1 (M1–M12)</t>
  </si>
  <si>
    <t xml:space="preserve">Year 2 (M13–M24)</t>
  </si>
  <si>
    <t xml:space="preserve">Year 3 (M25–M36)</t>
  </si>
  <si>
    <t xml:space="preserve">Total revenue</t>
  </si>
  <si>
    <t xml:space="preserve">Tax paid</t>
  </si>
  <si>
    <t xml:space="preserve">Net cash flow (incl. equity)</t>
  </si>
  <si>
    <t xml:space="preserve">EBITDA margin</t>
  </si>
  <si>
    <t xml:space="preserve">Closing cash (end of period)</t>
  </si>
  <si>
    <t xml:space="preserve">Deck cross-check: Phase 1 California revenue ≈ $12.6M</t>
  </si>
  <si>
    <t xml:space="preserve">USE OF FUNDS — $5.0M CLEAN ASK</t>
  </si>
  <si>
    <t xml:space="preserve">Structure follows May 28 Clean Ask Bridge v0.3. All values USD.</t>
  </si>
  <si>
    <t xml:space="preserve">Item</t>
  </si>
  <si>
    <t xml:space="preserve">Amount</t>
  </si>
  <si>
    <t xml:space="preserve">% of ask</t>
  </si>
  <si>
    <t xml:space="preserve">Treatment / Notes</t>
  </si>
  <si>
    <t xml:space="preserve">California cultivation &amp; facility build-out</t>
  </si>
  <si>
    <t xml:space="preserve">Capex $1.25M (M2–M6) + Season 1 cultivation cost $0.48M. Kept.</t>
  </si>
  <si>
    <t xml:space="preserve">Moroccan import partnership &amp; first inventory</t>
  </si>
  <si>
    <t xml:space="preserve">Partner agreements, first inventory purchases, landed-cost float. Case B driver.</t>
  </si>
  <si>
    <t xml:space="preserve">Licensing, compliance &amp; import permits</t>
  </si>
  <si>
    <t xml:space="preserve">CA licence costs, COA/QA programme, import regulatory pathway.</t>
  </si>
  <si>
    <t xml:space="preserve">Brand, sales &amp; distribution</t>
  </si>
  <si>
    <t xml:space="preserve">Launch marketing, sales team ramp, distributor onboarding.</t>
  </si>
  <si>
    <t xml:space="preserve">Working capital &amp; operating reserve</t>
  </si>
  <si>
    <t xml:space="preserve">Pre-revenue opex bridge M1–M10 + contingency. Kept separately per Clean Ask logic.</t>
  </si>
  <si>
    <t xml:space="preserve">TOTAL ASK</t>
  </si>
  <si>
    <t xml:space="preserve">Control — ties to equity raise on 0_Control</t>
  </si>
  <si>
    <t xml:space="preserve">Model minimum cash balance (M1–M36) — must stay positive</t>
  </si>
  <si>
    <t xml:space="preserve">SCENARIOS &amp; STRESS TESTS</t>
  </si>
  <si>
    <t xml:space="preserve">Case A = California only. Case B = California + Moroccan imports. Proxy sensitivities follow v0.7 5A logic; full rerun by editing 1_Assumptions.</t>
  </si>
  <si>
    <t xml:space="preserve">Metric</t>
  </si>
  <si>
    <t xml:space="preserve">Case A (CA only)</t>
  </si>
  <si>
    <t xml:space="preserve">Case B (+ imports)</t>
  </si>
  <si>
    <t xml:space="preserve">Phase 1 revenue (M1–M18)</t>
  </si>
  <si>
    <t xml:space="preserve">Import column is zero when toggle = 1</t>
  </si>
  <si>
    <t xml:space="preserve">Year 2 total revenue</t>
  </si>
  <si>
    <t xml:space="preserve">Year 3 total revenue</t>
  </si>
  <si>
    <t xml:space="preserve">Phase 1 import gross profit</t>
  </si>
  <si>
    <t xml:space="preserve">Pre-distribution</t>
  </si>
  <si>
    <t xml:space="preserve">Set 0_Control toggle = 2 for Case B figures to flow through monthly model; Case A column here strips import rows directly.</t>
  </si>
  <si>
    <t xml:space="preserve">Stress lever</t>
  </si>
  <si>
    <t xml:space="preserve">Base input</t>
  </si>
  <si>
    <t xml:space="preserve">Stress input</t>
  </si>
  <si>
    <t xml:space="preserve">Base output</t>
  </si>
  <si>
    <t xml:space="preserve">Stress proxy output</t>
  </si>
  <si>
    <t xml:space="preserve">Delta</t>
  </si>
  <si>
    <t xml:space="preserve">All-wholesale mix (B2C share 0%)</t>
  </si>
  <si>
    <t xml:space="preserve">50%</t>
  </si>
  <si>
    <t xml:space="preserve">0%</t>
  </si>
  <si>
    <t xml:space="preserve">Season product revenue</t>
  </si>
  <si>
    <t xml:space="preserve">All-retail mix (B2C share 100%)</t>
  </si>
  <si>
    <t xml:space="preserve">100%</t>
  </si>
  <si>
    <t xml:space="preserve">Season 1 yield −20%</t>
  </si>
  <si>
    <t xml:space="preserve">Wholesale price 40% of retail (vs 50%)</t>
  </si>
  <si>
    <t xml:space="preserve">40%</t>
  </si>
  <si>
    <t xml:space="preserve">Import price −30%</t>
  </si>
  <si>
    <t xml:space="preserve">Y2 import revenue</t>
  </si>
  <si>
    <t xml:space="preserve">VALUATION VIEW</t>
  </si>
  <si>
    <t xml:space="preserve">DCF on 36-month FCF plus Year 3 EBITDA reference multiple. Methodology carried over from v0.7 8_Valuation.</t>
  </si>
  <si>
    <t xml:space="preserve">Year 3 EBITDA</t>
  </si>
  <si>
    <t xml:space="preserve">Model year 3</t>
  </si>
  <si>
    <t xml:space="preserve">EV @ 6x Y3 EBITDA</t>
  </si>
  <si>
    <t xml:space="preserve">Reference multiple from v0.7</t>
  </si>
  <si>
    <t xml:space="preserve">EV @ 8x Y3 EBITDA</t>
  </si>
  <si>
    <t xml:space="preserve">NPV of 36-month FCF @ 22%</t>
  </si>
  <si>
    <t xml:space="preserve">Pre-equity, post-tax operating FCF</t>
  </si>
  <si>
    <t xml:space="preserve">Terminal value (Y3 EBITDA × 6, discounted)</t>
  </si>
  <si>
    <t xml:space="preserve">Indicative enterprise value (NPV + TV)</t>
  </si>
  <si>
    <t xml:space="preserve">Illustrative — not a guarantee</t>
  </si>
  <si>
    <t xml:space="preserve">Multiple on $5.0M raise (EV basis)</t>
  </si>
  <si>
    <t xml:space="preserve">Read-through only; ignores dilution/structure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</si>
</sst>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\$#,##0;&quot;($&quot;#,##0\);\-"/>
    <numFmt numFmtId="166" formatCode="#,##0;\(#,##0\);\-"/>
    <numFmt numFmtId="167" formatCode="0.0%;\(0.0%\);\-"/>
    <numFmt numFmtId="168" formatCode="#,##0.0;\(#,##0.0\);\-"/>
    <numFmt numFmtId="169" formatCode="0.000;;\-"/>
    <numFmt numFmtId="170" formatCode="0.0\x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13221A"/>
      <name val="Arial"/>
      <family val="0"/>
      <charset val="1"/>
    </font>
    <font>
      <i val="true"/>
      <sz val="8"/>
      <color rgb="FF5C6B60"/>
      <name val="Arial"/>
      <family val="0"/>
      <charset val="1"/>
    </font>
    <font>
      <b val="true"/>
      <sz val="9"/>
      <color rgb="FFF0EADB"/>
      <name val="Arial"/>
      <family val="0"/>
      <charset val="1"/>
    </font>
    <font>
      <sz val="9"/>
      <name val="Arial"/>
      <family val="0"/>
      <charset val="1"/>
    </font>
    <font>
      <sz val="9"/>
      <color rgb="FF0000FF"/>
      <name val="Arial"/>
      <family val="0"/>
      <charset val="1"/>
    </font>
    <font>
      <sz val="8"/>
      <color rgb="FF5C6B60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008000"/>
      <name val="Arial"/>
      <family val="0"/>
      <charset val="1"/>
    </font>
    <font>
      <i val="true"/>
      <sz val="8"/>
      <color rgb="FFB3863A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3221A"/>
        <bgColor rgb="FF333333"/>
      </patternFill>
    </fill>
    <fill>
      <patternFill patternType="solid">
        <fgColor rgb="FFEDE9DC"/>
        <bgColor rgb="FFF0EADB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9DC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3863A"/>
      <rgbColor rgb="FF800080"/>
      <rgbColor rgb="FF008080"/>
      <rgbColor rgb="FFC0C0C0"/>
      <rgbColor rgb="FF808080"/>
      <rgbColor rgb="FF9999FF"/>
      <rgbColor rgb="FF993366"/>
      <rgbColor rgb="FFF0EAD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B60"/>
      <rgbColor rgb="FF969696"/>
      <rgbColor rgb="FF003366"/>
      <rgbColor rgb="FF339966"/>
      <rgbColor rgb="FF13221A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v>2</v>
      </c>
      <c r="C5" s="4" t="s">
        <v>6</v>
      </c>
    </row>
    <row r="6" customFormat="false" ht="15" hidden="false" customHeight="false" outlineLevel="0" collapsed="false">
      <c r="A6" s="4" t="s">
        <v>7</v>
      </c>
      <c r="B6" s="5" t="s">
        <v>8</v>
      </c>
      <c r="C6" s="4" t="s">
        <v>9</v>
      </c>
    </row>
    <row r="7" customFormat="false" ht="15" hidden="false" customHeight="false" outlineLevel="0" collapsed="false">
      <c r="A7" s="4" t="s">
        <v>10</v>
      </c>
      <c r="B7" s="5" t="n">
        <v>36</v>
      </c>
      <c r="C7" s="4"/>
    </row>
    <row r="8" customFormat="false" ht="15" hidden="false" customHeight="false" outlineLevel="0" collapsed="false">
      <c r="A8" s="4" t="s">
        <v>11</v>
      </c>
      <c r="B8" s="5" t="s">
        <v>12</v>
      </c>
      <c r="C8" s="4"/>
    </row>
    <row r="9" customFormat="false" ht="15" hidden="false" customHeight="false" outlineLevel="0" collapsed="false">
      <c r="A9" s="4" t="s">
        <v>13</v>
      </c>
      <c r="B9" s="6" t="n">
        <v>5000000</v>
      </c>
      <c r="C9" s="4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3" min="3" style="0" width="46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52"/>
  </cols>
  <sheetData>
    <row r="1" customFormat="false" ht="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2" t="s">
        <v>16</v>
      </c>
    </row>
    <row r="4" customFormat="false" ht="15" hidden="false" customHeight="false" outlineLevel="0" collapsed="false">
      <c r="A4" s="3" t="s">
        <v>17</v>
      </c>
      <c r="B4" s="3" t="s">
        <v>18</v>
      </c>
      <c r="C4" s="3" t="s">
        <v>19</v>
      </c>
      <c r="D4" s="3" t="s">
        <v>3</v>
      </c>
      <c r="E4" s="3" t="s">
        <v>20</v>
      </c>
      <c r="F4" s="3" t="s">
        <v>21</v>
      </c>
    </row>
    <row r="5" customFormat="false" ht="15" hidden="false" customHeight="false" outlineLevel="0" collapsed="false">
      <c r="A5" s="4" t="s">
        <v>22</v>
      </c>
      <c r="B5" s="4" t="s">
        <v>23</v>
      </c>
      <c r="C5" s="4" t="s">
        <v>24</v>
      </c>
      <c r="D5" s="7" t="n">
        <v>2094</v>
      </c>
      <c r="E5" s="4" t="s">
        <v>25</v>
      </c>
      <c r="F5" s="8" t="s">
        <v>26</v>
      </c>
    </row>
    <row r="6" customFormat="false" ht="15" hidden="false" customHeight="false" outlineLevel="0" collapsed="false">
      <c r="A6" s="4" t="s">
        <v>27</v>
      </c>
      <c r="B6" s="4" t="s">
        <v>23</v>
      </c>
      <c r="C6" s="4" t="s">
        <v>28</v>
      </c>
      <c r="D6" s="9" t="n">
        <f aca="false">D5*0.4</f>
        <v>837.6</v>
      </c>
      <c r="E6" s="4" t="s">
        <v>25</v>
      </c>
      <c r="F6" s="8" t="s">
        <v>29</v>
      </c>
    </row>
    <row r="7" customFormat="false" ht="15" hidden="false" customHeight="false" outlineLevel="0" collapsed="false">
      <c r="A7" s="4" t="s">
        <v>30</v>
      </c>
      <c r="B7" s="4" t="s">
        <v>23</v>
      </c>
      <c r="C7" s="4" t="s">
        <v>31</v>
      </c>
      <c r="D7" s="10" t="n">
        <v>0.3</v>
      </c>
      <c r="E7" s="4" t="s">
        <v>32</v>
      </c>
      <c r="F7" s="8" t="s">
        <v>33</v>
      </c>
    </row>
    <row r="8" customFormat="false" ht="15" hidden="false" customHeight="false" outlineLevel="0" collapsed="false">
      <c r="A8" s="4" t="s">
        <v>34</v>
      </c>
      <c r="B8" s="4" t="s">
        <v>23</v>
      </c>
      <c r="C8" s="4" t="s">
        <v>35</v>
      </c>
      <c r="D8" s="10" t="n">
        <v>0.4</v>
      </c>
      <c r="E8" s="4" t="s">
        <v>32</v>
      </c>
      <c r="F8" s="8" t="s">
        <v>33</v>
      </c>
    </row>
    <row r="9" customFormat="false" ht="15" hidden="false" customHeight="false" outlineLevel="0" collapsed="false">
      <c r="A9" s="4" t="s">
        <v>36</v>
      </c>
      <c r="B9" s="4" t="s">
        <v>23</v>
      </c>
      <c r="C9" s="4" t="s">
        <v>37</v>
      </c>
      <c r="D9" s="10" t="n">
        <v>0.3</v>
      </c>
      <c r="E9" s="4" t="s">
        <v>32</v>
      </c>
      <c r="F9" s="8" t="s">
        <v>33</v>
      </c>
    </row>
    <row r="10" customFormat="false" ht="15" hidden="false" customHeight="false" outlineLevel="0" collapsed="false">
      <c r="A10" s="4" t="s">
        <v>38</v>
      </c>
      <c r="B10" s="4" t="s">
        <v>23</v>
      </c>
      <c r="C10" s="4" t="s">
        <v>39</v>
      </c>
      <c r="D10" s="7" t="n">
        <v>1.25</v>
      </c>
      <c r="E10" s="4" t="s">
        <v>40</v>
      </c>
      <c r="F10" s="8" t="s">
        <v>41</v>
      </c>
    </row>
    <row r="11" customFormat="false" ht="15" hidden="false" customHeight="false" outlineLevel="0" collapsed="false">
      <c r="A11" s="4" t="s">
        <v>42</v>
      </c>
      <c r="B11" s="4" t="s">
        <v>23</v>
      </c>
      <c r="C11" s="4" t="s">
        <v>43</v>
      </c>
      <c r="D11" s="7" t="n">
        <v>1.5</v>
      </c>
      <c r="E11" s="4" t="s">
        <v>40</v>
      </c>
      <c r="F11" s="8" t="s">
        <v>44</v>
      </c>
    </row>
    <row r="12" customFormat="false" ht="15" hidden="false" customHeight="false" outlineLevel="0" collapsed="false">
      <c r="A12" s="4" t="s">
        <v>45</v>
      </c>
      <c r="B12" s="4" t="s">
        <v>23</v>
      </c>
      <c r="C12" s="4" t="s">
        <v>46</v>
      </c>
      <c r="D12" s="7" t="n">
        <v>453.592</v>
      </c>
      <c r="E12" s="4" t="s">
        <v>47</v>
      </c>
      <c r="F12" s="8" t="s">
        <v>48</v>
      </c>
    </row>
    <row r="13" customFormat="false" ht="15" hidden="false" customHeight="false" outlineLevel="0" collapsed="false">
      <c r="A13" s="4" t="s">
        <v>49</v>
      </c>
      <c r="B13" s="4" t="s">
        <v>50</v>
      </c>
      <c r="C13" s="4" t="s">
        <v>51</v>
      </c>
      <c r="D13" s="7" t="n">
        <v>64</v>
      </c>
      <c r="E13" s="4" t="s">
        <v>52</v>
      </c>
      <c r="F13" s="8" t="s">
        <v>53</v>
      </c>
    </row>
    <row r="14" customFormat="false" ht="15" hidden="false" customHeight="false" outlineLevel="0" collapsed="false">
      <c r="A14" s="4" t="s">
        <v>54</v>
      </c>
      <c r="B14" s="4" t="s">
        <v>50</v>
      </c>
      <c r="C14" s="4" t="s">
        <v>55</v>
      </c>
      <c r="D14" s="7" t="n">
        <v>68</v>
      </c>
      <c r="E14" s="4" t="s">
        <v>47</v>
      </c>
      <c r="F14" s="8" t="s">
        <v>56</v>
      </c>
    </row>
    <row r="15" customFormat="false" ht="15" hidden="false" customHeight="false" outlineLevel="0" collapsed="false">
      <c r="A15" s="4" t="s">
        <v>57</v>
      </c>
      <c r="B15" s="4" t="s">
        <v>50</v>
      </c>
      <c r="C15" s="4" t="s">
        <v>58</v>
      </c>
      <c r="D15" s="10" t="n">
        <v>0.3</v>
      </c>
      <c r="E15" s="4" t="s">
        <v>59</v>
      </c>
      <c r="F15" s="8" t="s">
        <v>60</v>
      </c>
    </row>
    <row r="16" customFormat="false" ht="15" hidden="false" customHeight="false" outlineLevel="0" collapsed="false">
      <c r="A16" s="4" t="s">
        <v>61</v>
      </c>
      <c r="B16" s="4" t="s">
        <v>50</v>
      </c>
      <c r="C16" s="4" t="s">
        <v>62</v>
      </c>
      <c r="D16" s="10" t="n">
        <v>0.7</v>
      </c>
      <c r="E16" s="4" t="s">
        <v>59</v>
      </c>
      <c r="F16" s="8" t="s">
        <v>60</v>
      </c>
    </row>
    <row r="17" customFormat="false" ht="15" hidden="false" customHeight="false" outlineLevel="0" collapsed="false">
      <c r="A17" s="4" t="s">
        <v>63</v>
      </c>
      <c r="B17" s="4" t="s">
        <v>50</v>
      </c>
      <c r="C17" s="4" t="s">
        <v>64</v>
      </c>
      <c r="D17" s="11" t="n">
        <v>0.5</v>
      </c>
      <c r="E17" s="4" t="s">
        <v>65</v>
      </c>
      <c r="F17" s="8" t="s">
        <v>60</v>
      </c>
    </row>
    <row r="18" customFormat="false" ht="15" hidden="false" customHeight="false" outlineLevel="0" collapsed="false">
      <c r="A18" s="4" t="s">
        <v>66</v>
      </c>
      <c r="B18" s="4" t="s">
        <v>50</v>
      </c>
      <c r="C18" s="4" t="s">
        <v>67</v>
      </c>
      <c r="D18" s="10" t="n">
        <v>0.143</v>
      </c>
      <c r="E18" s="4" t="s">
        <v>59</v>
      </c>
      <c r="F18" s="8" t="s">
        <v>68</v>
      </c>
    </row>
    <row r="19" customFormat="false" ht="15" hidden="false" customHeight="false" outlineLevel="0" collapsed="false">
      <c r="A19" s="4" t="s">
        <v>69</v>
      </c>
      <c r="B19" s="4" t="s">
        <v>70</v>
      </c>
      <c r="C19" s="4" t="s">
        <v>71</v>
      </c>
      <c r="D19" s="7" t="n">
        <v>56</v>
      </c>
      <c r="E19" s="4" t="s">
        <v>72</v>
      </c>
      <c r="F19" s="8" t="s">
        <v>73</v>
      </c>
    </row>
    <row r="20" customFormat="false" ht="15" hidden="false" customHeight="false" outlineLevel="0" collapsed="false">
      <c r="A20" s="4" t="s">
        <v>74</v>
      </c>
      <c r="B20" s="4" t="s">
        <v>70</v>
      </c>
      <c r="C20" s="4" t="s">
        <v>75</v>
      </c>
      <c r="D20" s="7" t="n">
        <v>44</v>
      </c>
      <c r="E20" s="4" t="s">
        <v>76</v>
      </c>
      <c r="F20" s="8" t="s">
        <v>77</v>
      </c>
    </row>
    <row r="21" customFormat="false" ht="15" hidden="false" customHeight="false" outlineLevel="0" collapsed="false">
      <c r="A21" s="4" t="s">
        <v>78</v>
      </c>
      <c r="B21" s="4" t="s">
        <v>70</v>
      </c>
      <c r="C21" s="4" t="s">
        <v>79</v>
      </c>
      <c r="D21" s="7" t="n">
        <v>35</v>
      </c>
      <c r="E21" s="4" t="s">
        <v>76</v>
      </c>
      <c r="F21" s="8" t="s">
        <v>77</v>
      </c>
    </row>
    <row r="22" customFormat="false" ht="15" hidden="false" customHeight="false" outlineLevel="0" collapsed="false">
      <c r="A22" s="4" t="s">
        <v>80</v>
      </c>
      <c r="B22" s="4" t="s">
        <v>70</v>
      </c>
      <c r="C22" s="4" t="s">
        <v>81</v>
      </c>
      <c r="D22" s="7" t="n">
        <v>13</v>
      </c>
      <c r="E22" s="4" t="s">
        <v>72</v>
      </c>
      <c r="F22" s="8" t="s">
        <v>77</v>
      </c>
    </row>
    <row r="23" customFormat="false" ht="15" hidden="false" customHeight="false" outlineLevel="0" collapsed="false">
      <c r="A23" s="4" t="s">
        <v>82</v>
      </c>
      <c r="B23" s="4" t="s">
        <v>83</v>
      </c>
      <c r="C23" s="4" t="s">
        <v>84</v>
      </c>
      <c r="D23" s="10" t="n">
        <v>0.5</v>
      </c>
      <c r="E23" s="4" t="s">
        <v>59</v>
      </c>
      <c r="F23" s="8" t="s">
        <v>85</v>
      </c>
    </row>
    <row r="24" customFormat="false" ht="15" hidden="false" customHeight="false" outlineLevel="0" collapsed="false">
      <c r="A24" s="4" t="s">
        <v>86</v>
      </c>
      <c r="B24" s="4" t="s">
        <v>83</v>
      </c>
      <c r="C24" s="4" t="s">
        <v>87</v>
      </c>
      <c r="D24" s="10" t="n">
        <v>0.5</v>
      </c>
      <c r="E24" s="4" t="s">
        <v>59</v>
      </c>
      <c r="F24" s="8" t="s">
        <v>88</v>
      </c>
    </row>
    <row r="25" customFormat="false" ht="15" hidden="false" customHeight="false" outlineLevel="0" collapsed="false">
      <c r="A25" s="4" t="s">
        <v>89</v>
      </c>
      <c r="B25" s="4" t="s">
        <v>83</v>
      </c>
      <c r="C25" s="4" t="s">
        <v>90</v>
      </c>
      <c r="D25" s="10" t="n">
        <v>0.15</v>
      </c>
      <c r="E25" s="4" t="s">
        <v>59</v>
      </c>
      <c r="F25" s="8" t="s">
        <v>91</v>
      </c>
    </row>
    <row r="26" customFormat="false" ht="15" hidden="false" customHeight="false" outlineLevel="0" collapsed="false">
      <c r="A26" s="4" t="s">
        <v>92</v>
      </c>
      <c r="B26" s="4" t="s">
        <v>83</v>
      </c>
      <c r="C26" s="4" t="s">
        <v>93</v>
      </c>
      <c r="D26" s="10" t="n">
        <v>0.1</v>
      </c>
      <c r="E26" s="4" t="s">
        <v>59</v>
      </c>
      <c r="F26" s="8" t="s">
        <v>94</v>
      </c>
    </row>
    <row r="27" customFormat="false" ht="15" hidden="false" customHeight="false" outlineLevel="0" collapsed="false">
      <c r="A27" s="4" t="s">
        <v>95</v>
      </c>
      <c r="B27" s="4" t="s">
        <v>83</v>
      </c>
      <c r="C27" s="4" t="s">
        <v>96</v>
      </c>
      <c r="D27" s="12" t="n">
        <f aca="false">D23+(1-D23)*D24</f>
        <v>0.75</v>
      </c>
      <c r="E27" s="4" t="s">
        <v>59</v>
      </c>
      <c r="F27" s="8" t="s">
        <v>97</v>
      </c>
    </row>
    <row r="28" customFormat="false" ht="15" hidden="false" customHeight="false" outlineLevel="0" collapsed="false">
      <c r="A28" s="4" t="s">
        <v>98</v>
      </c>
      <c r="B28" s="4" t="s">
        <v>83</v>
      </c>
      <c r="C28" s="4" t="s">
        <v>99</v>
      </c>
      <c r="D28" s="12" t="n">
        <f aca="false">(D23*D26+(1-D23)*D24*D25)/D27</f>
        <v>0.116666666666667</v>
      </c>
      <c r="E28" s="4" t="s">
        <v>59</v>
      </c>
      <c r="F28" s="8" t="s">
        <v>100</v>
      </c>
    </row>
    <row r="29" customFormat="false" ht="15" hidden="false" customHeight="false" outlineLevel="0" collapsed="false">
      <c r="A29" s="4" t="s">
        <v>101</v>
      </c>
      <c r="B29" s="4" t="s">
        <v>83</v>
      </c>
      <c r="C29" s="4" t="s">
        <v>102</v>
      </c>
      <c r="D29" s="13" t="n">
        <f aca="false">D19/D27</f>
        <v>74.6666666666667</v>
      </c>
      <c r="E29" s="4" t="s">
        <v>72</v>
      </c>
      <c r="F29" s="8" t="s">
        <v>103</v>
      </c>
    </row>
    <row r="30" customFormat="false" ht="15" hidden="false" customHeight="false" outlineLevel="0" collapsed="false">
      <c r="A30" s="4" t="s">
        <v>104</v>
      </c>
      <c r="B30" s="4" t="s">
        <v>83</v>
      </c>
      <c r="C30" s="4" t="s">
        <v>105</v>
      </c>
      <c r="D30" s="13" t="n">
        <f aca="false">D20/D27</f>
        <v>58.6666666666667</v>
      </c>
      <c r="E30" s="4" t="s">
        <v>76</v>
      </c>
      <c r="F30" s="8"/>
    </row>
    <row r="31" customFormat="false" ht="15" hidden="false" customHeight="false" outlineLevel="0" collapsed="false">
      <c r="A31" s="4" t="s">
        <v>106</v>
      </c>
      <c r="B31" s="4" t="s">
        <v>83</v>
      </c>
      <c r="C31" s="4" t="s">
        <v>107</v>
      </c>
      <c r="D31" s="13" t="n">
        <f aca="false">D21/D27</f>
        <v>46.6666666666667</v>
      </c>
      <c r="E31" s="4" t="s">
        <v>76</v>
      </c>
      <c r="F31" s="8"/>
    </row>
    <row r="32" customFormat="false" ht="15" hidden="false" customHeight="false" outlineLevel="0" collapsed="false">
      <c r="A32" s="4" t="s">
        <v>108</v>
      </c>
      <c r="B32" s="4" t="s">
        <v>83</v>
      </c>
      <c r="C32" s="4" t="s">
        <v>109</v>
      </c>
      <c r="D32" s="13" t="n">
        <f aca="false">D22/D27</f>
        <v>17.3333333333333</v>
      </c>
      <c r="E32" s="4" t="s">
        <v>72</v>
      </c>
      <c r="F32" s="8"/>
    </row>
    <row r="33" customFormat="false" ht="15" hidden="false" customHeight="false" outlineLevel="0" collapsed="false">
      <c r="A33" s="4" t="s">
        <v>110</v>
      </c>
      <c r="B33" s="4" t="s">
        <v>83</v>
      </c>
      <c r="C33" s="4" t="s">
        <v>111</v>
      </c>
      <c r="D33" s="13" t="n">
        <f aca="false">D29*D24</f>
        <v>37.3333333333333</v>
      </c>
      <c r="E33" s="4" t="s">
        <v>72</v>
      </c>
      <c r="F33" s="8" t="s">
        <v>112</v>
      </c>
    </row>
    <row r="34" customFormat="false" ht="15" hidden="false" customHeight="false" outlineLevel="0" collapsed="false">
      <c r="A34" s="4" t="s">
        <v>113</v>
      </c>
      <c r="B34" s="4" t="s">
        <v>70</v>
      </c>
      <c r="C34" s="4" t="s">
        <v>114</v>
      </c>
      <c r="D34" s="6" t="n">
        <v>24167</v>
      </c>
      <c r="E34" s="4" t="s">
        <v>115</v>
      </c>
      <c r="F34" s="8" t="s">
        <v>116</v>
      </c>
    </row>
    <row r="35" customFormat="false" ht="15" hidden="false" customHeight="false" outlineLevel="0" collapsed="false">
      <c r="A35" s="4" t="s">
        <v>117</v>
      </c>
      <c r="B35" s="4" t="s">
        <v>118</v>
      </c>
      <c r="C35" s="4" t="s">
        <v>119</v>
      </c>
      <c r="D35" s="7" t="n">
        <v>7</v>
      </c>
      <c r="E35" s="4" t="s">
        <v>120</v>
      </c>
      <c r="F35" s="8" t="s">
        <v>121</v>
      </c>
    </row>
    <row r="36" customFormat="false" ht="15" hidden="false" customHeight="false" outlineLevel="0" collapsed="false">
      <c r="A36" s="4" t="s">
        <v>122</v>
      </c>
      <c r="B36" s="4" t="s">
        <v>118</v>
      </c>
      <c r="C36" s="4" t="s">
        <v>123</v>
      </c>
      <c r="D36" s="7" t="n">
        <v>11</v>
      </c>
      <c r="E36" s="4" t="s">
        <v>120</v>
      </c>
      <c r="F36" s="8" t="s">
        <v>124</v>
      </c>
    </row>
    <row r="37" customFormat="false" ht="15" hidden="false" customHeight="false" outlineLevel="0" collapsed="false">
      <c r="A37" s="4" t="s">
        <v>125</v>
      </c>
      <c r="B37" s="4" t="s">
        <v>118</v>
      </c>
      <c r="C37" s="4" t="s">
        <v>126</v>
      </c>
      <c r="D37" s="7" t="n">
        <v>8</v>
      </c>
      <c r="E37" s="4" t="s">
        <v>127</v>
      </c>
      <c r="F37" s="8" t="s">
        <v>128</v>
      </c>
    </row>
    <row r="38" customFormat="false" ht="15" hidden="false" customHeight="false" outlineLevel="0" collapsed="false">
      <c r="A38" s="4" t="s">
        <v>129</v>
      </c>
      <c r="B38" s="4" t="s">
        <v>118</v>
      </c>
      <c r="C38" s="4" t="s">
        <v>130</v>
      </c>
      <c r="D38" s="7" t="n">
        <v>23</v>
      </c>
      <c r="E38" s="4" t="s">
        <v>120</v>
      </c>
      <c r="F38" s="8"/>
    </row>
    <row r="39" customFormat="false" ht="15" hidden="false" customHeight="false" outlineLevel="0" collapsed="false">
      <c r="A39" s="4" t="s">
        <v>131</v>
      </c>
      <c r="B39" s="4" t="s">
        <v>118</v>
      </c>
      <c r="C39" s="4" t="s">
        <v>132</v>
      </c>
      <c r="D39" s="7" t="n">
        <v>35</v>
      </c>
      <c r="E39" s="4" t="s">
        <v>120</v>
      </c>
      <c r="F39" s="8" t="s">
        <v>133</v>
      </c>
    </row>
    <row r="40" customFormat="false" ht="15" hidden="false" customHeight="false" outlineLevel="0" collapsed="false">
      <c r="A40" s="4" t="s">
        <v>134</v>
      </c>
      <c r="B40" s="4" t="s">
        <v>118</v>
      </c>
      <c r="C40" s="4" t="s">
        <v>135</v>
      </c>
      <c r="D40" s="7" t="n">
        <v>3</v>
      </c>
      <c r="E40" s="4" t="s">
        <v>120</v>
      </c>
      <c r="F40" s="8"/>
    </row>
    <row r="41" customFormat="false" ht="15" hidden="false" customHeight="false" outlineLevel="0" collapsed="false">
      <c r="A41" s="4" t="s">
        <v>136</v>
      </c>
      <c r="B41" s="4" t="s">
        <v>118</v>
      </c>
      <c r="C41" s="4" t="s">
        <v>137</v>
      </c>
      <c r="D41" s="7" t="n">
        <v>8</v>
      </c>
      <c r="E41" s="4" t="s">
        <v>127</v>
      </c>
      <c r="F41" s="8" t="s">
        <v>138</v>
      </c>
    </row>
    <row r="42" customFormat="false" ht="15" hidden="false" customHeight="false" outlineLevel="0" collapsed="false">
      <c r="A42" s="4" t="s">
        <v>139</v>
      </c>
      <c r="B42" s="4" t="s">
        <v>140</v>
      </c>
      <c r="C42" s="4" t="s">
        <v>141</v>
      </c>
      <c r="D42" s="7" t="n">
        <v>13</v>
      </c>
      <c r="E42" s="4" t="s">
        <v>120</v>
      </c>
      <c r="F42" s="8" t="s">
        <v>142</v>
      </c>
    </row>
    <row r="43" customFormat="false" ht="15" hidden="false" customHeight="false" outlineLevel="0" collapsed="false">
      <c r="A43" s="4" t="s">
        <v>143</v>
      </c>
      <c r="B43" s="4" t="s">
        <v>140</v>
      </c>
      <c r="C43" s="4" t="s">
        <v>144</v>
      </c>
      <c r="D43" s="7" t="n">
        <v>30</v>
      </c>
      <c r="E43" s="4" t="s">
        <v>145</v>
      </c>
      <c r="F43" s="8" t="s">
        <v>146</v>
      </c>
    </row>
    <row r="44" customFormat="false" ht="15" hidden="false" customHeight="false" outlineLevel="0" collapsed="false">
      <c r="A44" s="4" t="s">
        <v>147</v>
      </c>
      <c r="B44" s="4" t="s">
        <v>140</v>
      </c>
      <c r="C44" s="4" t="s">
        <v>148</v>
      </c>
      <c r="D44" s="7" t="n">
        <v>60</v>
      </c>
      <c r="E44" s="4" t="s">
        <v>145</v>
      </c>
      <c r="F44" s="8" t="s">
        <v>44</v>
      </c>
    </row>
    <row r="45" customFormat="false" ht="15" hidden="false" customHeight="false" outlineLevel="0" collapsed="false">
      <c r="A45" s="4" t="s">
        <v>149</v>
      </c>
      <c r="B45" s="4" t="s">
        <v>140</v>
      </c>
      <c r="C45" s="4" t="s">
        <v>150</v>
      </c>
      <c r="D45" s="7" t="n">
        <v>100</v>
      </c>
      <c r="E45" s="4" t="s">
        <v>145</v>
      </c>
      <c r="F45" s="8" t="s">
        <v>44</v>
      </c>
    </row>
    <row r="46" customFormat="false" ht="15" hidden="false" customHeight="false" outlineLevel="0" collapsed="false">
      <c r="A46" s="4" t="s">
        <v>151</v>
      </c>
      <c r="B46" s="4" t="s">
        <v>140</v>
      </c>
      <c r="C46" s="4" t="s">
        <v>152</v>
      </c>
      <c r="D46" s="11" t="n">
        <v>10.5</v>
      </c>
      <c r="E46" s="4" t="s">
        <v>76</v>
      </c>
      <c r="F46" s="8" t="s">
        <v>153</v>
      </c>
    </row>
    <row r="47" customFormat="false" ht="15" hidden="false" customHeight="false" outlineLevel="0" collapsed="false">
      <c r="A47" s="4" t="s">
        <v>154</v>
      </c>
      <c r="B47" s="4" t="s">
        <v>140</v>
      </c>
      <c r="C47" s="4" t="s">
        <v>155</v>
      </c>
      <c r="D47" s="11" t="n">
        <v>4.5</v>
      </c>
      <c r="E47" s="4" t="s">
        <v>76</v>
      </c>
      <c r="F47" s="8" t="s">
        <v>156</v>
      </c>
    </row>
    <row r="48" customFormat="false" ht="15" hidden="false" customHeight="false" outlineLevel="0" collapsed="false">
      <c r="A48" s="4" t="s">
        <v>157</v>
      </c>
      <c r="B48" s="4" t="s">
        <v>140</v>
      </c>
      <c r="C48" s="4" t="s">
        <v>158</v>
      </c>
      <c r="D48" s="6" t="n">
        <v>10000</v>
      </c>
      <c r="E48" s="4" t="s">
        <v>115</v>
      </c>
      <c r="F48" s="8" t="s">
        <v>44</v>
      </c>
    </row>
    <row r="49" customFormat="false" ht="15" hidden="false" customHeight="false" outlineLevel="0" collapsed="false">
      <c r="A49" s="4" t="s">
        <v>159</v>
      </c>
      <c r="B49" s="4" t="s">
        <v>160</v>
      </c>
      <c r="C49" s="4" t="s">
        <v>161</v>
      </c>
      <c r="D49" s="6" t="n">
        <v>480000</v>
      </c>
      <c r="E49" s="4" t="s">
        <v>162</v>
      </c>
      <c r="F49" s="8" t="s">
        <v>163</v>
      </c>
    </row>
    <row r="50" customFormat="false" ht="15" hidden="false" customHeight="false" outlineLevel="0" collapsed="false">
      <c r="A50" s="4" t="s">
        <v>164</v>
      </c>
      <c r="B50" s="4" t="s">
        <v>160</v>
      </c>
      <c r="C50" s="4" t="s">
        <v>165</v>
      </c>
      <c r="D50" s="11" t="n">
        <v>1.25</v>
      </c>
      <c r="E50" s="4" t="s">
        <v>72</v>
      </c>
      <c r="F50" s="8" t="s">
        <v>44</v>
      </c>
    </row>
    <row r="51" customFormat="false" ht="15" hidden="false" customHeight="false" outlineLevel="0" collapsed="false">
      <c r="A51" s="4" t="s">
        <v>166</v>
      </c>
      <c r="B51" s="4" t="s">
        <v>160</v>
      </c>
      <c r="C51" s="4" t="s">
        <v>167</v>
      </c>
      <c r="D51" s="11" t="n">
        <v>0.3</v>
      </c>
      <c r="E51" s="4" t="s">
        <v>72</v>
      </c>
      <c r="F51" s="8" t="s">
        <v>44</v>
      </c>
    </row>
    <row r="52" customFormat="false" ht="15" hidden="false" customHeight="false" outlineLevel="0" collapsed="false">
      <c r="A52" s="4" t="s">
        <v>168</v>
      </c>
      <c r="B52" s="4" t="s">
        <v>160</v>
      </c>
      <c r="C52" s="4" t="s">
        <v>169</v>
      </c>
      <c r="D52" s="11" t="n">
        <v>2</v>
      </c>
      <c r="E52" s="4" t="s">
        <v>76</v>
      </c>
      <c r="F52" s="8" t="s">
        <v>44</v>
      </c>
    </row>
    <row r="53" customFormat="false" ht="15" hidden="false" customHeight="false" outlineLevel="0" collapsed="false">
      <c r="A53" s="4" t="s">
        <v>170</v>
      </c>
      <c r="B53" s="4" t="s">
        <v>160</v>
      </c>
      <c r="C53" s="4" t="s">
        <v>171</v>
      </c>
      <c r="D53" s="11" t="n">
        <v>1.5</v>
      </c>
      <c r="E53" s="4" t="s">
        <v>76</v>
      </c>
      <c r="F53" s="8" t="s">
        <v>44</v>
      </c>
    </row>
    <row r="54" customFormat="false" ht="15" hidden="false" customHeight="false" outlineLevel="0" collapsed="false">
      <c r="A54" s="4" t="s">
        <v>172</v>
      </c>
      <c r="B54" s="4" t="s">
        <v>160</v>
      </c>
      <c r="C54" s="4" t="s">
        <v>173</v>
      </c>
      <c r="D54" s="6" t="n">
        <v>60000</v>
      </c>
      <c r="E54" s="4" t="s">
        <v>162</v>
      </c>
      <c r="F54" s="8" t="s">
        <v>174</v>
      </c>
    </row>
    <row r="55" customFormat="false" ht="15" hidden="false" customHeight="false" outlineLevel="0" collapsed="false">
      <c r="A55" s="4" t="s">
        <v>175</v>
      </c>
      <c r="B55" s="4" t="s">
        <v>176</v>
      </c>
      <c r="C55" s="4" t="s">
        <v>177</v>
      </c>
      <c r="D55" s="6" t="n">
        <v>47000</v>
      </c>
      <c r="E55" s="4" t="s">
        <v>115</v>
      </c>
      <c r="F55" s="8" t="s">
        <v>178</v>
      </c>
    </row>
    <row r="56" customFormat="false" ht="15" hidden="false" customHeight="false" outlineLevel="0" collapsed="false">
      <c r="A56" s="4" t="s">
        <v>179</v>
      </c>
      <c r="B56" s="4" t="s">
        <v>176</v>
      </c>
      <c r="C56" s="4" t="s">
        <v>180</v>
      </c>
      <c r="D56" s="10" t="n">
        <v>0.5</v>
      </c>
      <c r="E56" s="4" t="s">
        <v>59</v>
      </c>
      <c r="F56" s="8" t="s">
        <v>181</v>
      </c>
    </row>
    <row r="57" customFormat="false" ht="15" hidden="false" customHeight="false" outlineLevel="0" collapsed="false">
      <c r="A57" s="4" t="s">
        <v>182</v>
      </c>
      <c r="B57" s="4" t="s">
        <v>176</v>
      </c>
      <c r="C57" s="4" t="s">
        <v>183</v>
      </c>
      <c r="D57" s="6" t="n">
        <v>26000</v>
      </c>
      <c r="E57" s="4" t="s">
        <v>115</v>
      </c>
      <c r="F57" s="8" t="s">
        <v>44</v>
      </c>
    </row>
    <row r="58" customFormat="false" ht="15" hidden="false" customHeight="false" outlineLevel="0" collapsed="false">
      <c r="A58" s="4" t="s">
        <v>184</v>
      </c>
      <c r="B58" s="4" t="s">
        <v>176</v>
      </c>
      <c r="C58" s="4" t="s">
        <v>185</v>
      </c>
      <c r="D58" s="6" t="n">
        <v>10000</v>
      </c>
      <c r="E58" s="4" t="s">
        <v>115</v>
      </c>
      <c r="F58" s="8" t="s">
        <v>186</v>
      </c>
    </row>
    <row r="59" customFormat="false" ht="15" hidden="false" customHeight="false" outlineLevel="0" collapsed="false">
      <c r="A59" s="4" t="s">
        <v>187</v>
      </c>
      <c r="B59" s="4" t="s">
        <v>176</v>
      </c>
      <c r="C59" s="4" t="s">
        <v>188</v>
      </c>
      <c r="D59" s="7" t="n">
        <v>9</v>
      </c>
      <c r="E59" s="4" t="s">
        <v>120</v>
      </c>
      <c r="F59" s="8"/>
    </row>
    <row r="60" customFormat="false" ht="15" hidden="false" customHeight="false" outlineLevel="0" collapsed="false">
      <c r="A60" s="4" t="s">
        <v>189</v>
      </c>
      <c r="B60" s="4" t="s">
        <v>176</v>
      </c>
      <c r="C60" s="4" t="s">
        <v>190</v>
      </c>
      <c r="D60" s="10" t="n">
        <v>0.1</v>
      </c>
      <c r="E60" s="4" t="s">
        <v>59</v>
      </c>
      <c r="F60" s="8" t="s">
        <v>191</v>
      </c>
    </row>
    <row r="61" customFormat="false" ht="15" hidden="false" customHeight="false" outlineLevel="0" collapsed="false">
      <c r="A61" s="4" t="s">
        <v>192</v>
      </c>
      <c r="B61" s="4" t="s">
        <v>193</v>
      </c>
      <c r="C61" s="4" t="s">
        <v>194</v>
      </c>
      <c r="D61" s="6" t="n">
        <v>1250000</v>
      </c>
      <c r="E61" s="4" t="s">
        <v>12</v>
      </c>
      <c r="F61" s="8" t="s">
        <v>195</v>
      </c>
    </row>
    <row r="62" customFormat="false" ht="15" hidden="false" customHeight="false" outlineLevel="0" collapsed="false">
      <c r="A62" s="4" t="s">
        <v>196</v>
      </c>
      <c r="B62" s="4" t="s">
        <v>193</v>
      </c>
      <c r="C62" s="4" t="s">
        <v>197</v>
      </c>
      <c r="D62" s="7" t="n">
        <v>2</v>
      </c>
      <c r="E62" s="4" t="s">
        <v>120</v>
      </c>
      <c r="F62" s="8"/>
    </row>
    <row r="63" customFormat="false" ht="15" hidden="false" customHeight="false" outlineLevel="0" collapsed="false">
      <c r="A63" s="4" t="s">
        <v>198</v>
      </c>
      <c r="B63" s="4" t="s">
        <v>193</v>
      </c>
      <c r="C63" s="4" t="s">
        <v>199</v>
      </c>
      <c r="D63" s="7" t="n">
        <v>5</v>
      </c>
      <c r="E63" s="4" t="s">
        <v>127</v>
      </c>
      <c r="F63" s="8" t="s">
        <v>200</v>
      </c>
    </row>
    <row r="64" customFormat="false" ht="15" hidden="false" customHeight="false" outlineLevel="0" collapsed="false">
      <c r="A64" s="4" t="s">
        <v>201</v>
      </c>
      <c r="B64" s="4" t="s">
        <v>202</v>
      </c>
      <c r="C64" s="4" t="s">
        <v>203</v>
      </c>
      <c r="D64" s="7" t="n">
        <v>30</v>
      </c>
      <c r="E64" s="4" t="s">
        <v>204</v>
      </c>
      <c r="F64" s="8" t="s">
        <v>191</v>
      </c>
    </row>
    <row r="65" customFormat="false" ht="15" hidden="false" customHeight="false" outlineLevel="0" collapsed="false">
      <c r="A65" s="4" t="s">
        <v>205</v>
      </c>
      <c r="B65" s="4" t="s">
        <v>202</v>
      </c>
      <c r="C65" s="4" t="s">
        <v>206</v>
      </c>
      <c r="D65" s="7" t="n">
        <v>15</v>
      </c>
      <c r="E65" s="4" t="s">
        <v>204</v>
      </c>
      <c r="F65" s="8" t="s">
        <v>191</v>
      </c>
    </row>
    <row r="66" customFormat="false" ht="15" hidden="false" customHeight="false" outlineLevel="0" collapsed="false">
      <c r="A66" s="4" t="s">
        <v>207</v>
      </c>
      <c r="B66" s="4" t="s">
        <v>208</v>
      </c>
      <c r="C66" s="4" t="s">
        <v>209</v>
      </c>
      <c r="D66" s="10" t="n">
        <v>0.3</v>
      </c>
      <c r="E66" s="4" t="s">
        <v>59</v>
      </c>
      <c r="F66" s="8" t="s">
        <v>210</v>
      </c>
    </row>
    <row r="67" customFormat="false" ht="15" hidden="false" customHeight="false" outlineLevel="0" collapsed="false">
      <c r="A67" s="4" t="s">
        <v>211</v>
      </c>
      <c r="B67" s="4" t="s">
        <v>212</v>
      </c>
      <c r="C67" s="4" t="s">
        <v>213</v>
      </c>
      <c r="D67" s="10" t="n">
        <v>0.22</v>
      </c>
      <c r="E67" s="4" t="s">
        <v>59</v>
      </c>
      <c r="F67" s="8" t="s">
        <v>191</v>
      </c>
    </row>
    <row r="68" customFormat="false" ht="15" hidden="false" customHeight="false" outlineLevel="0" collapsed="false">
      <c r="A68" s="4" t="s">
        <v>214</v>
      </c>
      <c r="B68" s="4" t="s">
        <v>212</v>
      </c>
      <c r="C68" s="4" t="s">
        <v>215</v>
      </c>
      <c r="D68" s="7" t="n">
        <v>6</v>
      </c>
      <c r="E68" s="4" t="s">
        <v>40</v>
      </c>
      <c r="F68" s="8" t="s">
        <v>191</v>
      </c>
    </row>
    <row r="69" customFormat="false" ht="15" hidden="false" customHeight="false" outlineLevel="0" collapsed="false">
      <c r="A69" s="4" t="s">
        <v>216</v>
      </c>
      <c r="B69" s="4" t="s">
        <v>217</v>
      </c>
      <c r="C69" s="4" t="s">
        <v>218</v>
      </c>
      <c r="D69" s="9" t="n">
        <f aca="false">D5*D7</f>
        <v>628.2</v>
      </c>
      <c r="E69" s="4" t="s">
        <v>25</v>
      </c>
      <c r="F69" s="8"/>
    </row>
    <row r="70" customFormat="false" ht="15" hidden="false" customHeight="false" outlineLevel="0" collapsed="false">
      <c r="A70" s="4" t="s">
        <v>219</v>
      </c>
      <c r="B70" s="4" t="s">
        <v>217</v>
      </c>
      <c r="C70" s="4" t="s">
        <v>220</v>
      </c>
      <c r="D70" s="9" t="n">
        <f aca="false">D5*D8</f>
        <v>837.6</v>
      </c>
      <c r="E70" s="4" t="s">
        <v>25</v>
      </c>
      <c r="F70" s="8"/>
    </row>
    <row r="71" customFormat="false" ht="15" hidden="false" customHeight="false" outlineLevel="0" collapsed="false">
      <c r="A71" s="4" t="s">
        <v>221</v>
      </c>
      <c r="B71" s="4" t="s">
        <v>217</v>
      </c>
      <c r="C71" s="4" t="s">
        <v>222</v>
      </c>
      <c r="D71" s="9" t="n">
        <f aca="false">D5*D9</f>
        <v>628.2</v>
      </c>
      <c r="E71" s="4" t="s">
        <v>25</v>
      </c>
      <c r="F71" s="8"/>
    </row>
    <row r="72" customFormat="false" ht="15" hidden="false" customHeight="false" outlineLevel="0" collapsed="false">
      <c r="A72" s="4" t="s">
        <v>223</v>
      </c>
      <c r="B72" s="4" t="s">
        <v>217</v>
      </c>
      <c r="C72" s="4" t="s">
        <v>224</v>
      </c>
      <c r="D72" s="9" t="n">
        <f aca="false">D71+D6</f>
        <v>1465.8</v>
      </c>
      <c r="E72" s="4" t="s">
        <v>25</v>
      </c>
      <c r="F72" s="8"/>
    </row>
    <row r="73" customFormat="false" ht="15" hidden="false" customHeight="false" outlineLevel="0" collapsed="false">
      <c r="A73" s="4" t="s">
        <v>225</v>
      </c>
      <c r="B73" s="4" t="s">
        <v>217</v>
      </c>
      <c r="C73" s="4" t="s">
        <v>226</v>
      </c>
      <c r="D73" s="9" t="n">
        <f aca="false">D69*D13</f>
        <v>40204.8</v>
      </c>
      <c r="E73" s="4" t="s">
        <v>227</v>
      </c>
      <c r="F73" s="8"/>
    </row>
    <row r="74" customFormat="false" ht="15" hidden="false" customHeight="false" outlineLevel="0" collapsed="false">
      <c r="A74" s="4" t="s">
        <v>228</v>
      </c>
      <c r="B74" s="4" t="s">
        <v>217</v>
      </c>
      <c r="C74" s="4" t="s">
        <v>229</v>
      </c>
      <c r="D74" s="9" t="n">
        <f aca="false">D70*D14</f>
        <v>56956.8</v>
      </c>
      <c r="E74" s="4" t="s">
        <v>230</v>
      </c>
      <c r="F74" s="8"/>
    </row>
    <row r="75" customFormat="false" ht="15" hidden="false" customHeight="false" outlineLevel="0" collapsed="false">
      <c r="A75" s="4" t="s">
        <v>231</v>
      </c>
      <c r="B75" s="4" t="s">
        <v>217</v>
      </c>
      <c r="C75" s="4" t="s">
        <v>232</v>
      </c>
      <c r="D75" s="9" t="n">
        <f aca="false">D72*D15*D12/D17</f>
        <v>398925.09216</v>
      </c>
      <c r="E75" s="4" t="s">
        <v>227</v>
      </c>
      <c r="F75" s="8"/>
    </row>
    <row r="76" customFormat="false" ht="15" hidden="false" customHeight="false" outlineLevel="0" collapsed="false">
      <c r="A76" s="4" t="s">
        <v>233</v>
      </c>
      <c r="B76" s="4" t="s">
        <v>217</v>
      </c>
      <c r="C76" s="4" t="s">
        <v>234</v>
      </c>
      <c r="D76" s="9" t="n">
        <f aca="false">D72*D16*D12*D18</f>
        <v>66554.00287536</v>
      </c>
      <c r="E76" s="4" t="s">
        <v>230</v>
      </c>
      <c r="F76" s="8"/>
    </row>
    <row r="77" customFormat="false" ht="15" hidden="false" customHeight="false" outlineLevel="0" collapsed="false">
      <c r="A77" s="4" t="s">
        <v>235</v>
      </c>
      <c r="B77" s="4" t="s">
        <v>217</v>
      </c>
      <c r="C77" s="4" t="s">
        <v>236</v>
      </c>
      <c r="D77" s="14" t="n">
        <f aca="false">D73*D50+D75*D51+D74*D52+D76*D53</f>
        <v>383678.13196104</v>
      </c>
      <c r="E77" s="4" t="s">
        <v>162</v>
      </c>
      <c r="F77" s="8"/>
    </row>
    <row r="78" customFormat="false" ht="15" hidden="false" customHeight="false" outlineLevel="0" collapsed="false">
      <c r="A78" s="4" t="s">
        <v>237</v>
      </c>
      <c r="B78" s="4" t="s">
        <v>217</v>
      </c>
      <c r="C78" s="4" t="s">
        <v>238</v>
      </c>
      <c r="D78" s="14" t="n">
        <f aca="false">D73*D19+D74*D20+D76*D21+D75*D22</f>
        <v>12272984.2987176</v>
      </c>
      <c r="E78" s="4" t="s">
        <v>162</v>
      </c>
      <c r="F78" s="8" t="s"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30"/>
    <col collapsed="false" customWidth="true" hidden="false" outlineLevel="0" max="38" min="3" style="0" width="11"/>
  </cols>
  <sheetData>
    <row r="1" customFormat="false" ht="15" hidden="false" customHeight="false" outlineLevel="0" collapsed="false">
      <c r="A1" s="1" t="s">
        <v>240</v>
      </c>
    </row>
    <row r="2" customFormat="false" ht="15" hidden="false" customHeight="false" outlineLevel="0" collapsed="false">
      <c r="A2" s="2" t="s">
        <v>241</v>
      </c>
    </row>
    <row r="4" customFormat="false" ht="15" hidden="false" customHeight="false" outlineLevel="0" collapsed="false">
      <c r="B4" s="3" t="s">
        <v>242</v>
      </c>
      <c r="C4" s="15" t="n">
        <v>1</v>
      </c>
      <c r="D4" s="15" t="n">
        <v>2</v>
      </c>
      <c r="E4" s="15" t="n">
        <v>3</v>
      </c>
      <c r="F4" s="15" t="n">
        <v>4</v>
      </c>
      <c r="G4" s="15" t="n">
        <v>5</v>
      </c>
      <c r="H4" s="15" t="n">
        <v>6</v>
      </c>
      <c r="I4" s="15" t="n">
        <v>7</v>
      </c>
      <c r="J4" s="15" t="n">
        <v>8</v>
      </c>
      <c r="K4" s="15" t="n">
        <v>9</v>
      </c>
      <c r="L4" s="15" t="n">
        <v>10</v>
      </c>
      <c r="M4" s="15" t="n">
        <v>11</v>
      </c>
      <c r="N4" s="15" t="n">
        <v>12</v>
      </c>
      <c r="O4" s="15" t="n">
        <v>13</v>
      </c>
      <c r="P4" s="15" t="n">
        <v>14</v>
      </c>
      <c r="Q4" s="15" t="n">
        <v>15</v>
      </c>
      <c r="R4" s="15" t="n">
        <v>16</v>
      </c>
      <c r="S4" s="15" t="n">
        <v>17</v>
      </c>
      <c r="T4" s="15" t="n">
        <v>18</v>
      </c>
      <c r="U4" s="15" t="n">
        <v>19</v>
      </c>
      <c r="V4" s="15" t="n">
        <v>20</v>
      </c>
      <c r="W4" s="15" t="n">
        <v>21</v>
      </c>
      <c r="X4" s="15" t="n">
        <v>22</v>
      </c>
      <c r="Y4" s="15" t="n">
        <v>23</v>
      </c>
      <c r="Z4" s="15" t="n">
        <v>24</v>
      </c>
      <c r="AA4" s="15" t="n">
        <v>25</v>
      </c>
      <c r="AB4" s="15" t="n">
        <v>26</v>
      </c>
      <c r="AC4" s="15" t="n">
        <v>27</v>
      </c>
      <c r="AD4" s="15" t="n">
        <v>28</v>
      </c>
      <c r="AE4" s="15" t="n">
        <v>29</v>
      </c>
      <c r="AF4" s="15" t="n">
        <v>30</v>
      </c>
      <c r="AG4" s="15" t="n">
        <v>31</v>
      </c>
      <c r="AH4" s="15" t="n">
        <v>32</v>
      </c>
      <c r="AI4" s="15" t="n">
        <v>33</v>
      </c>
      <c r="AJ4" s="15" t="n">
        <v>34</v>
      </c>
      <c r="AK4" s="15" t="n">
        <v>35</v>
      </c>
      <c r="AL4" s="15" t="n">
        <v>36</v>
      </c>
    </row>
    <row r="6" customFormat="false" ht="15" hidden="false" customHeight="false" outlineLevel="0" collapsed="false">
      <c r="B6" s="16" t="s">
        <v>243</v>
      </c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</row>
    <row r="7" customFormat="false" ht="15" hidden="false" customHeight="false" outlineLevel="0" collapsed="false">
      <c r="B7" s="4" t="s">
        <v>244</v>
      </c>
      <c r="C7" s="18" t="n">
        <f aca="false">IF(AND(C$4&gt;='1_Assumptions'!$D$36,C$4&lt;'1_Assumptions'!$D$36+'1_Assumptions'!$D$37),1/'1_Assumptions'!$D$37,0)</f>
        <v>0</v>
      </c>
      <c r="D7" s="18" t="n">
        <f aca="false">IF(AND(D$4&gt;='1_Assumptions'!$D$36,D$4&lt;'1_Assumptions'!$D$36+'1_Assumptions'!$D$37),1/'1_Assumptions'!$D$37,0)</f>
        <v>0</v>
      </c>
      <c r="E7" s="18" t="n">
        <f aca="false">IF(AND(E$4&gt;='1_Assumptions'!$D$36,E$4&lt;'1_Assumptions'!$D$36+'1_Assumptions'!$D$37),1/'1_Assumptions'!$D$37,0)</f>
        <v>0</v>
      </c>
      <c r="F7" s="18" t="n">
        <f aca="false">IF(AND(F$4&gt;='1_Assumptions'!$D$36,F$4&lt;'1_Assumptions'!$D$36+'1_Assumptions'!$D$37),1/'1_Assumptions'!$D$37,0)</f>
        <v>0</v>
      </c>
      <c r="G7" s="18" t="n">
        <f aca="false">IF(AND(G$4&gt;='1_Assumptions'!$D$36,G$4&lt;'1_Assumptions'!$D$36+'1_Assumptions'!$D$37),1/'1_Assumptions'!$D$37,0)</f>
        <v>0</v>
      </c>
      <c r="H7" s="18" t="n">
        <f aca="false">IF(AND(H$4&gt;='1_Assumptions'!$D$36,H$4&lt;'1_Assumptions'!$D$36+'1_Assumptions'!$D$37),1/'1_Assumptions'!$D$37,0)</f>
        <v>0</v>
      </c>
      <c r="I7" s="18" t="n">
        <f aca="false">IF(AND(I$4&gt;='1_Assumptions'!$D$36,I$4&lt;'1_Assumptions'!$D$36+'1_Assumptions'!$D$37),1/'1_Assumptions'!$D$37,0)</f>
        <v>0</v>
      </c>
      <c r="J7" s="18" t="n">
        <f aca="false">IF(AND(J$4&gt;='1_Assumptions'!$D$36,J$4&lt;'1_Assumptions'!$D$36+'1_Assumptions'!$D$37),1/'1_Assumptions'!$D$37,0)</f>
        <v>0</v>
      </c>
      <c r="K7" s="18" t="n">
        <f aca="false">IF(AND(K$4&gt;='1_Assumptions'!$D$36,K$4&lt;'1_Assumptions'!$D$36+'1_Assumptions'!$D$37),1/'1_Assumptions'!$D$37,0)</f>
        <v>0</v>
      </c>
      <c r="L7" s="18" t="n">
        <f aca="false">IF(AND(L$4&gt;='1_Assumptions'!$D$36,L$4&lt;'1_Assumptions'!$D$36+'1_Assumptions'!$D$37),1/'1_Assumptions'!$D$37,0)</f>
        <v>0</v>
      </c>
      <c r="M7" s="18" t="n">
        <f aca="false">IF(AND(M$4&gt;='1_Assumptions'!$D$36,M$4&lt;'1_Assumptions'!$D$36+'1_Assumptions'!$D$37),1/'1_Assumptions'!$D$37,0)</f>
        <v>0.125</v>
      </c>
      <c r="N7" s="18" t="n">
        <f aca="false">IF(AND(N$4&gt;='1_Assumptions'!$D$36,N$4&lt;'1_Assumptions'!$D$36+'1_Assumptions'!$D$37),1/'1_Assumptions'!$D$37,0)</f>
        <v>0.125</v>
      </c>
      <c r="O7" s="18" t="n">
        <f aca="false">IF(AND(O$4&gt;='1_Assumptions'!$D$36,O$4&lt;'1_Assumptions'!$D$36+'1_Assumptions'!$D$37),1/'1_Assumptions'!$D$37,0)</f>
        <v>0.125</v>
      </c>
      <c r="P7" s="18" t="n">
        <f aca="false">IF(AND(P$4&gt;='1_Assumptions'!$D$36,P$4&lt;'1_Assumptions'!$D$36+'1_Assumptions'!$D$37),1/'1_Assumptions'!$D$37,0)</f>
        <v>0.125</v>
      </c>
      <c r="Q7" s="18" t="n">
        <f aca="false">IF(AND(Q$4&gt;='1_Assumptions'!$D$36,Q$4&lt;'1_Assumptions'!$D$36+'1_Assumptions'!$D$37),1/'1_Assumptions'!$D$37,0)</f>
        <v>0.125</v>
      </c>
      <c r="R7" s="18" t="n">
        <f aca="false">IF(AND(R$4&gt;='1_Assumptions'!$D$36,R$4&lt;'1_Assumptions'!$D$36+'1_Assumptions'!$D$37),1/'1_Assumptions'!$D$37,0)</f>
        <v>0.125</v>
      </c>
      <c r="S7" s="18" t="n">
        <f aca="false">IF(AND(S$4&gt;='1_Assumptions'!$D$36,S$4&lt;'1_Assumptions'!$D$36+'1_Assumptions'!$D$37),1/'1_Assumptions'!$D$37,0)</f>
        <v>0.125</v>
      </c>
      <c r="T7" s="18" t="n">
        <f aca="false">IF(AND(T$4&gt;='1_Assumptions'!$D$36,T$4&lt;'1_Assumptions'!$D$36+'1_Assumptions'!$D$37),1/'1_Assumptions'!$D$37,0)</f>
        <v>0.125</v>
      </c>
      <c r="U7" s="18" t="n">
        <f aca="false">IF(AND(U$4&gt;='1_Assumptions'!$D$36,U$4&lt;'1_Assumptions'!$D$36+'1_Assumptions'!$D$37),1/'1_Assumptions'!$D$37,0)</f>
        <v>0</v>
      </c>
      <c r="V7" s="18" t="n">
        <f aca="false">IF(AND(V$4&gt;='1_Assumptions'!$D$36,V$4&lt;'1_Assumptions'!$D$36+'1_Assumptions'!$D$37),1/'1_Assumptions'!$D$37,0)</f>
        <v>0</v>
      </c>
      <c r="W7" s="18" t="n">
        <f aca="false">IF(AND(W$4&gt;='1_Assumptions'!$D$36,W$4&lt;'1_Assumptions'!$D$36+'1_Assumptions'!$D$37),1/'1_Assumptions'!$D$37,0)</f>
        <v>0</v>
      </c>
      <c r="X7" s="18" t="n">
        <f aca="false">IF(AND(X$4&gt;='1_Assumptions'!$D$36,X$4&lt;'1_Assumptions'!$D$36+'1_Assumptions'!$D$37),1/'1_Assumptions'!$D$37,0)</f>
        <v>0</v>
      </c>
      <c r="Y7" s="18" t="n">
        <f aca="false">IF(AND(Y$4&gt;='1_Assumptions'!$D$36,Y$4&lt;'1_Assumptions'!$D$36+'1_Assumptions'!$D$37),1/'1_Assumptions'!$D$37,0)</f>
        <v>0</v>
      </c>
      <c r="Z7" s="18" t="n">
        <f aca="false">IF(AND(Z$4&gt;='1_Assumptions'!$D$36,Z$4&lt;'1_Assumptions'!$D$36+'1_Assumptions'!$D$37),1/'1_Assumptions'!$D$37,0)</f>
        <v>0</v>
      </c>
      <c r="AA7" s="18" t="n">
        <f aca="false">IF(AND(AA$4&gt;='1_Assumptions'!$D$36,AA$4&lt;'1_Assumptions'!$D$36+'1_Assumptions'!$D$37),1/'1_Assumptions'!$D$37,0)</f>
        <v>0</v>
      </c>
      <c r="AB7" s="18" t="n">
        <f aca="false">IF(AND(AB$4&gt;='1_Assumptions'!$D$36,AB$4&lt;'1_Assumptions'!$D$36+'1_Assumptions'!$D$37),1/'1_Assumptions'!$D$37,0)</f>
        <v>0</v>
      </c>
      <c r="AC7" s="18" t="n">
        <f aca="false">IF(AND(AC$4&gt;='1_Assumptions'!$D$36,AC$4&lt;'1_Assumptions'!$D$36+'1_Assumptions'!$D$37),1/'1_Assumptions'!$D$37,0)</f>
        <v>0</v>
      </c>
      <c r="AD7" s="18" t="n">
        <f aca="false">IF(AND(AD$4&gt;='1_Assumptions'!$D$36,AD$4&lt;'1_Assumptions'!$D$36+'1_Assumptions'!$D$37),1/'1_Assumptions'!$D$37,0)</f>
        <v>0</v>
      </c>
      <c r="AE7" s="18" t="n">
        <f aca="false">IF(AND(AE$4&gt;='1_Assumptions'!$D$36,AE$4&lt;'1_Assumptions'!$D$36+'1_Assumptions'!$D$37),1/'1_Assumptions'!$D$37,0)</f>
        <v>0</v>
      </c>
      <c r="AF7" s="18" t="n">
        <f aca="false">IF(AND(AF$4&gt;='1_Assumptions'!$D$36,AF$4&lt;'1_Assumptions'!$D$36+'1_Assumptions'!$D$37),1/'1_Assumptions'!$D$37,0)</f>
        <v>0</v>
      </c>
      <c r="AG7" s="18" t="n">
        <f aca="false">IF(AND(AG$4&gt;='1_Assumptions'!$D$36,AG$4&lt;'1_Assumptions'!$D$36+'1_Assumptions'!$D$37),1/'1_Assumptions'!$D$37,0)</f>
        <v>0</v>
      </c>
      <c r="AH7" s="18" t="n">
        <f aca="false">IF(AND(AH$4&gt;='1_Assumptions'!$D$36,AH$4&lt;'1_Assumptions'!$D$36+'1_Assumptions'!$D$37),1/'1_Assumptions'!$D$37,0)</f>
        <v>0</v>
      </c>
      <c r="AI7" s="18" t="n">
        <f aca="false">IF(AND(AI$4&gt;='1_Assumptions'!$D$36,AI$4&lt;'1_Assumptions'!$D$36+'1_Assumptions'!$D$37),1/'1_Assumptions'!$D$37,0)</f>
        <v>0</v>
      </c>
      <c r="AJ7" s="18" t="n">
        <f aca="false">IF(AND(AJ$4&gt;='1_Assumptions'!$D$36,AJ$4&lt;'1_Assumptions'!$D$36+'1_Assumptions'!$D$37),1/'1_Assumptions'!$D$37,0)</f>
        <v>0</v>
      </c>
      <c r="AK7" s="18" t="n">
        <f aca="false">IF(AND(AK$4&gt;='1_Assumptions'!$D$36,AK$4&lt;'1_Assumptions'!$D$36+'1_Assumptions'!$D$37),1/'1_Assumptions'!$D$37,0)</f>
        <v>0</v>
      </c>
      <c r="AL7" s="18" t="n">
        <f aca="false">IF(AND(AL$4&gt;='1_Assumptions'!$D$36,AL$4&lt;'1_Assumptions'!$D$36+'1_Assumptions'!$D$37),1/'1_Assumptions'!$D$37,0)</f>
        <v>0</v>
      </c>
    </row>
    <row r="8" customFormat="false" ht="15" hidden="false" customHeight="false" outlineLevel="0" collapsed="false">
      <c r="B8" s="4" t="s">
        <v>245</v>
      </c>
      <c r="C8" s="18" t="n">
        <f aca="false">IF(AND(C$4&gt;='1_Assumptions'!$D$38,C$4&lt;'1_Assumptions'!$D$38+'1_Assumptions'!$D$37),1/'1_Assumptions'!$D$37,0)</f>
        <v>0</v>
      </c>
      <c r="D8" s="18" t="n">
        <f aca="false">IF(AND(D$4&gt;='1_Assumptions'!$D$38,D$4&lt;'1_Assumptions'!$D$38+'1_Assumptions'!$D$37),1/'1_Assumptions'!$D$37,0)</f>
        <v>0</v>
      </c>
      <c r="E8" s="18" t="n">
        <f aca="false">IF(AND(E$4&gt;='1_Assumptions'!$D$38,E$4&lt;'1_Assumptions'!$D$38+'1_Assumptions'!$D$37),1/'1_Assumptions'!$D$37,0)</f>
        <v>0</v>
      </c>
      <c r="F8" s="18" t="n">
        <f aca="false">IF(AND(F$4&gt;='1_Assumptions'!$D$38,F$4&lt;'1_Assumptions'!$D$38+'1_Assumptions'!$D$37),1/'1_Assumptions'!$D$37,0)</f>
        <v>0</v>
      </c>
      <c r="G8" s="18" t="n">
        <f aca="false">IF(AND(G$4&gt;='1_Assumptions'!$D$38,G$4&lt;'1_Assumptions'!$D$38+'1_Assumptions'!$D$37),1/'1_Assumptions'!$D$37,0)</f>
        <v>0</v>
      </c>
      <c r="H8" s="18" t="n">
        <f aca="false">IF(AND(H$4&gt;='1_Assumptions'!$D$38,H$4&lt;'1_Assumptions'!$D$38+'1_Assumptions'!$D$37),1/'1_Assumptions'!$D$37,0)</f>
        <v>0</v>
      </c>
      <c r="I8" s="18" t="n">
        <f aca="false">IF(AND(I$4&gt;='1_Assumptions'!$D$38,I$4&lt;'1_Assumptions'!$D$38+'1_Assumptions'!$D$37),1/'1_Assumptions'!$D$37,0)</f>
        <v>0</v>
      </c>
      <c r="J8" s="18" t="n">
        <f aca="false">IF(AND(J$4&gt;='1_Assumptions'!$D$38,J$4&lt;'1_Assumptions'!$D$38+'1_Assumptions'!$D$37),1/'1_Assumptions'!$D$37,0)</f>
        <v>0</v>
      </c>
      <c r="K8" s="18" t="n">
        <f aca="false">IF(AND(K$4&gt;='1_Assumptions'!$D$38,K$4&lt;'1_Assumptions'!$D$38+'1_Assumptions'!$D$37),1/'1_Assumptions'!$D$37,0)</f>
        <v>0</v>
      </c>
      <c r="L8" s="18" t="n">
        <f aca="false">IF(AND(L$4&gt;='1_Assumptions'!$D$38,L$4&lt;'1_Assumptions'!$D$38+'1_Assumptions'!$D$37),1/'1_Assumptions'!$D$37,0)</f>
        <v>0</v>
      </c>
      <c r="M8" s="18" t="n">
        <f aca="false">IF(AND(M$4&gt;='1_Assumptions'!$D$38,M$4&lt;'1_Assumptions'!$D$38+'1_Assumptions'!$D$37),1/'1_Assumptions'!$D$37,0)</f>
        <v>0</v>
      </c>
      <c r="N8" s="18" t="n">
        <f aca="false">IF(AND(N$4&gt;='1_Assumptions'!$D$38,N$4&lt;'1_Assumptions'!$D$38+'1_Assumptions'!$D$37),1/'1_Assumptions'!$D$37,0)</f>
        <v>0</v>
      </c>
      <c r="O8" s="18" t="n">
        <f aca="false">IF(AND(O$4&gt;='1_Assumptions'!$D$38,O$4&lt;'1_Assumptions'!$D$38+'1_Assumptions'!$D$37),1/'1_Assumptions'!$D$37,0)</f>
        <v>0</v>
      </c>
      <c r="P8" s="18" t="n">
        <f aca="false">IF(AND(P$4&gt;='1_Assumptions'!$D$38,P$4&lt;'1_Assumptions'!$D$38+'1_Assumptions'!$D$37),1/'1_Assumptions'!$D$37,0)</f>
        <v>0</v>
      </c>
      <c r="Q8" s="18" t="n">
        <f aca="false">IF(AND(Q$4&gt;='1_Assumptions'!$D$38,Q$4&lt;'1_Assumptions'!$D$38+'1_Assumptions'!$D$37),1/'1_Assumptions'!$D$37,0)</f>
        <v>0</v>
      </c>
      <c r="R8" s="18" t="n">
        <f aca="false">IF(AND(R$4&gt;='1_Assumptions'!$D$38,R$4&lt;'1_Assumptions'!$D$38+'1_Assumptions'!$D$37),1/'1_Assumptions'!$D$37,0)</f>
        <v>0</v>
      </c>
      <c r="S8" s="18" t="n">
        <f aca="false">IF(AND(S$4&gt;='1_Assumptions'!$D$38,S$4&lt;'1_Assumptions'!$D$38+'1_Assumptions'!$D$37),1/'1_Assumptions'!$D$37,0)</f>
        <v>0</v>
      </c>
      <c r="T8" s="18" t="n">
        <f aca="false">IF(AND(T$4&gt;='1_Assumptions'!$D$38,T$4&lt;'1_Assumptions'!$D$38+'1_Assumptions'!$D$37),1/'1_Assumptions'!$D$37,0)</f>
        <v>0</v>
      </c>
      <c r="U8" s="18" t="n">
        <f aca="false">IF(AND(U$4&gt;='1_Assumptions'!$D$38,U$4&lt;'1_Assumptions'!$D$38+'1_Assumptions'!$D$37),1/'1_Assumptions'!$D$37,0)</f>
        <v>0</v>
      </c>
      <c r="V8" s="18" t="n">
        <f aca="false">IF(AND(V$4&gt;='1_Assumptions'!$D$38,V$4&lt;'1_Assumptions'!$D$38+'1_Assumptions'!$D$37),1/'1_Assumptions'!$D$37,0)</f>
        <v>0</v>
      </c>
      <c r="W8" s="18" t="n">
        <f aca="false">IF(AND(W$4&gt;='1_Assumptions'!$D$38,W$4&lt;'1_Assumptions'!$D$38+'1_Assumptions'!$D$37),1/'1_Assumptions'!$D$37,0)</f>
        <v>0</v>
      </c>
      <c r="X8" s="18" t="n">
        <f aca="false">IF(AND(X$4&gt;='1_Assumptions'!$D$38,X$4&lt;'1_Assumptions'!$D$38+'1_Assumptions'!$D$37),1/'1_Assumptions'!$D$37,0)</f>
        <v>0</v>
      </c>
      <c r="Y8" s="18" t="n">
        <f aca="false">IF(AND(Y$4&gt;='1_Assumptions'!$D$38,Y$4&lt;'1_Assumptions'!$D$38+'1_Assumptions'!$D$37),1/'1_Assumptions'!$D$37,0)</f>
        <v>0.125</v>
      </c>
      <c r="Z8" s="18" t="n">
        <f aca="false">IF(AND(Z$4&gt;='1_Assumptions'!$D$38,Z$4&lt;'1_Assumptions'!$D$38+'1_Assumptions'!$D$37),1/'1_Assumptions'!$D$37,0)</f>
        <v>0.125</v>
      </c>
      <c r="AA8" s="18" t="n">
        <f aca="false">IF(AND(AA$4&gt;='1_Assumptions'!$D$38,AA$4&lt;'1_Assumptions'!$D$38+'1_Assumptions'!$D$37),1/'1_Assumptions'!$D$37,0)</f>
        <v>0.125</v>
      </c>
      <c r="AB8" s="18" t="n">
        <f aca="false">IF(AND(AB$4&gt;='1_Assumptions'!$D$38,AB$4&lt;'1_Assumptions'!$D$38+'1_Assumptions'!$D$37),1/'1_Assumptions'!$D$37,0)</f>
        <v>0.125</v>
      </c>
      <c r="AC8" s="18" t="n">
        <f aca="false">IF(AND(AC$4&gt;='1_Assumptions'!$D$38,AC$4&lt;'1_Assumptions'!$D$38+'1_Assumptions'!$D$37),1/'1_Assumptions'!$D$37,0)</f>
        <v>0.125</v>
      </c>
      <c r="AD8" s="18" t="n">
        <f aca="false">IF(AND(AD$4&gt;='1_Assumptions'!$D$38,AD$4&lt;'1_Assumptions'!$D$38+'1_Assumptions'!$D$37),1/'1_Assumptions'!$D$37,0)</f>
        <v>0.125</v>
      </c>
      <c r="AE8" s="18" t="n">
        <f aca="false">IF(AND(AE$4&gt;='1_Assumptions'!$D$38,AE$4&lt;'1_Assumptions'!$D$38+'1_Assumptions'!$D$37),1/'1_Assumptions'!$D$37,0)</f>
        <v>0.125</v>
      </c>
      <c r="AF8" s="18" t="n">
        <f aca="false">IF(AND(AF$4&gt;='1_Assumptions'!$D$38,AF$4&lt;'1_Assumptions'!$D$38+'1_Assumptions'!$D$37),1/'1_Assumptions'!$D$37,0)</f>
        <v>0.125</v>
      </c>
      <c r="AG8" s="18" t="n">
        <f aca="false">IF(AND(AG$4&gt;='1_Assumptions'!$D$38,AG$4&lt;'1_Assumptions'!$D$38+'1_Assumptions'!$D$37),1/'1_Assumptions'!$D$37,0)</f>
        <v>0</v>
      </c>
      <c r="AH8" s="18" t="n">
        <f aca="false">IF(AND(AH$4&gt;='1_Assumptions'!$D$38,AH$4&lt;'1_Assumptions'!$D$38+'1_Assumptions'!$D$37),1/'1_Assumptions'!$D$37,0)</f>
        <v>0</v>
      </c>
      <c r="AI8" s="18" t="n">
        <f aca="false">IF(AND(AI$4&gt;='1_Assumptions'!$D$38,AI$4&lt;'1_Assumptions'!$D$38+'1_Assumptions'!$D$37),1/'1_Assumptions'!$D$37,0)</f>
        <v>0</v>
      </c>
      <c r="AJ8" s="18" t="n">
        <f aca="false">IF(AND(AJ$4&gt;='1_Assumptions'!$D$38,AJ$4&lt;'1_Assumptions'!$D$38+'1_Assumptions'!$D$37),1/'1_Assumptions'!$D$37,0)</f>
        <v>0</v>
      </c>
      <c r="AK8" s="18" t="n">
        <f aca="false">IF(AND(AK$4&gt;='1_Assumptions'!$D$38,AK$4&lt;'1_Assumptions'!$D$38+'1_Assumptions'!$D$37),1/'1_Assumptions'!$D$37,0)</f>
        <v>0</v>
      </c>
      <c r="AL8" s="18" t="n">
        <f aca="false">IF(AND(AL$4&gt;='1_Assumptions'!$D$38,AL$4&lt;'1_Assumptions'!$D$38+'1_Assumptions'!$D$37),1/'1_Assumptions'!$D$37,0)</f>
        <v>0</v>
      </c>
    </row>
    <row r="9" customFormat="false" ht="15" hidden="false" customHeight="false" outlineLevel="0" collapsed="false">
      <c r="B9" s="4" t="s">
        <v>246</v>
      </c>
      <c r="C9" s="18" t="n">
        <f aca="false">IF(AND(C$4&gt;='1_Assumptions'!$D$39,C$4&lt;'1_Assumptions'!$D$39+'1_Assumptions'!$D$37),1/'1_Assumptions'!$D$37,0)</f>
        <v>0</v>
      </c>
      <c r="D9" s="18" t="n">
        <f aca="false">IF(AND(D$4&gt;='1_Assumptions'!$D$39,D$4&lt;'1_Assumptions'!$D$39+'1_Assumptions'!$D$37),1/'1_Assumptions'!$D$37,0)</f>
        <v>0</v>
      </c>
      <c r="E9" s="18" t="n">
        <f aca="false">IF(AND(E$4&gt;='1_Assumptions'!$D$39,E$4&lt;'1_Assumptions'!$D$39+'1_Assumptions'!$D$37),1/'1_Assumptions'!$D$37,0)</f>
        <v>0</v>
      </c>
      <c r="F9" s="18" t="n">
        <f aca="false">IF(AND(F$4&gt;='1_Assumptions'!$D$39,F$4&lt;'1_Assumptions'!$D$39+'1_Assumptions'!$D$37),1/'1_Assumptions'!$D$37,0)</f>
        <v>0</v>
      </c>
      <c r="G9" s="18" t="n">
        <f aca="false">IF(AND(G$4&gt;='1_Assumptions'!$D$39,G$4&lt;'1_Assumptions'!$D$39+'1_Assumptions'!$D$37),1/'1_Assumptions'!$D$37,0)</f>
        <v>0</v>
      </c>
      <c r="H9" s="18" t="n">
        <f aca="false">IF(AND(H$4&gt;='1_Assumptions'!$D$39,H$4&lt;'1_Assumptions'!$D$39+'1_Assumptions'!$D$37),1/'1_Assumptions'!$D$37,0)</f>
        <v>0</v>
      </c>
      <c r="I9" s="18" t="n">
        <f aca="false">IF(AND(I$4&gt;='1_Assumptions'!$D$39,I$4&lt;'1_Assumptions'!$D$39+'1_Assumptions'!$D$37),1/'1_Assumptions'!$D$37,0)</f>
        <v>0</v>
      </c>
      <c r="J9" s="18" t="n">
        <f aca="false">IF(AND(J$4&gt;='1_Assumptions'!$D$39,J$4&lt;'1_Assumptions'!$D$39+'1_Assumptions'!$D$37),1/'1_Assumptions'!$D$37,0)</f>
        <v>0</v>
      </c>
      <c r="K9" s="18" t="n">
        <f aca="false">IF(AND(K$4&gt;='1_Assumptions'!$D$39,K$4&lt;'1_Assumptions'!$D$39+'1_Assumptions'!$D$37),1/'1_Assumptions'!$D$37,0)</f>
        <v>0</v>
      </c>
      <c r="L9" s="18" t="n">
        <f aca="false">IF(AND(L$4&gt;='1_Assumptions'!$D$39,L$4&lt;'1_Assumptions'!$D$39+'1_Assumptions'!$D$37),1/'1_Assumptions'!$D$37,0)</f>
        <v>0</v>
      </c>
      <c r="M9" s="18" t="n">
        <f aca="false">IF(AND(M$4&gt;='1_Assumptions'!$D$39,M$4&lt;'1_Assumptions'!$D$39+'1_Assumptions'!$D$37),1/'1_Assumptions'!$D$37,0)</f>
        <v>0</v>
      </c>
      <c r="N9" s="18" t="n">
        <f aca="false">IF(AND(N$4&gt;='1_Assumptions'!$D$39,N$4&lt;'1_Assumptions'!$D$39+'1_Assumptions'!$D$37),1/'1_Assumptions'!$D$37,0)</f>
        <v>0</v>
      </c>
      <c r="O9" s="18" t="n">
        <f aca="false">IF(AND(O$4&gt;='1_Assumptions'!$D$39,O$4&lt;'1_Assumptions'!$D$39+'1_Assumptions'!$D$37),1/'1_Assumptions'!$D$37,0)</f>
        <v>0</v>
      </c>
      <c r="P9" s="18" t="n">
        <f aca="false">IF(AND(P$4&gt;='1_Assumptions'!$D$39,P$4&lt;'1_Assumptions'!$D$39+'1_Assumptions'!$D$37),1/'1_Assumptions'!$D$37,0)</f>
        <v>0</v>
      </c>
      <c r="Q9" s="18" t="n">
        <f aca="false">IF(AND(Q$4&gt;='1_Assumptions'!$D$39,Q$4&lt;'1_Assumptions'!$D$39+'1_Assumptions'!$D$37),1/'1_Assumptions'!$D$37,0)</f>
        <v>0</v>
      </c>
      <c r="R9" s="18" t="n">
        <f aca="false">IF(AND(R$4&gt;='1_Assumptions'!$D$39,R$4&lt;'1_Assumptions'!$D$39+'1_Assumptions'!$D$37),1/'1_Assumptions'!$D$37,0)</f>
        <v>0</v>
      </c>
      <c r="S9" s="18" t="n">
        <f aca="false">IF(AND(S$4&gt;='1_Assumptions'!$D$39,S$4&lt;'1_Assumptions'!$D$39+'1_Assumptions'!$D$37),1/'1_Assumptions'!$D$37,0)</f>
        <v>0</v>
      </c>
      <c r="T9" s="18" t="n">
        <f aca="false">IF(AND(T$4&gt;='1_Assumptions'!$D$39,T$4&lt;'1_Assumptions'!$D$39+'1_Assumptions'!$D$37),1/'1_Assumptions'!$D$37,0)</f>
        <v>0</v>
      </c>
      <c r="U9" s="18" t="n">
        <f aca="false">IF(AND(U$4&gt;='1_Assumptions'!$D$39,U$4&lt;'1_Assumptions'!$D$39+'1_Assumptions'!$D$37),1/'1_Assumptions'!$D$37,0)</f>
        <v>0</v>
      </c>
      <c r="V9" s="18" t="n">
        <f aca="false">IF(AND(V$4&gt;='1_Assumptions'!$D$39,V$4&lt;'1_Assumptions'!$D$39+'1_Assumptions'!$D$37),1/'1_Assumptions'!$D$37,0)</f>
        <v>0</v>
      </c>
      <c r="W9" s="18" t="n">
        <f aca="false">IF(AND(W$4&gt;='1_Assumptions'!$D$39,W$4&lt;'1_Assumptions'!$D$39+'1_Assumptions'!$D$37),1/'1_Assumptions'!$D$37,0)</f>
        <v>0</v>
      </c>
      <c r="X9" s="18" t="n">
        <f aca="false">IF(AND(X$4&gt;='1_Assumptions'!$D$39,X$4&lt;'1_Assumptions'!$D$39+'1_Assumptions'!$D$37),1/'1_Assumptions'!$D$37,0)</f>
        <v>0</v>
      </c>
      <c r="Y9" s="18" t="n">
        <f aca="false">IF(AND(Y$4&gt;='1_Assumptions'!$D$39,Y$4&lt;'1_Assumptions'!$D$39+'1_Assumptions'!$D$37),1/'1_Assumptions'!$D$37,0)</f>
        <v>0</v>
      </c>
      <c r="Z9" s="18" t="n">
        <f aca="false">IF(AND(Z$4&gt;='1_Assumptions'!$D$39,Z$4&lt;'1_Assumptions'!$D$39+'1_Assumptions'!$D$37),1/'1_Assumptions'!$D$37,0)</f>
        <v>0</v>
      </c>
      <c r="AA9" s="18" t="n">
        <f aca="false">IF(AND(AA$4&gt;='1_Assumptions'!$D$39,AA$4&lt;'1_Assumptions'!$D$39+'1_Assumptions'!$D$37),1/'1_Assumptions'!$D$37,0)</f>
        <v>0</v>
      </c>
      <c r="AB9" s="18" t="n">
        <f aca="false">IF(AND(AB$4&gt;='1_Assumptions'!$D$39,AB$4&lt;'1_Assumptions'!$D$39+'1_Assumptions'!$D$37),1/'1_Assumptions'!$D$37,0)</f>
        <v>0</v>
      </c>
      <c r="AC9" s="18" t="n">
        <f aca="false">IF(AND(AC$4&gt;='1_Assumptions'!$D$39,AC$4&lt;'1_Assumptions'!$D$39+'1_Assumptions'!$D$37),1/'1_Assumptions'!$D$37,0)</f>
        <v>0</v>
      </c>
      <c r="AD9" s="18" t="n">
        <f aca="false">IF(AND(AD$4&gt;='1_Assumptions'!$D$39,AD$4&lt;'1_Assumptions'!$D$39+'1_Assumptions'!$D$37),1/'1_Assumptions'!$D$37,0)</f>
        <v>0</v>
      </c>
      <c r="AE9" s="18" t="n">
        <f aca="false">IF(AND(AE$4&gt;='1_Assumptions'!$D$39,AE$4&lt;'1_Assumptions'!$D$39+'1_Assumptions'!$D$37),1/'1_Assumptions'!$D$37,0)</f>
        <v>0</v>
      </c>
      <c r="AF9" s="18" t="n">
        <f aca="false">IF(AND(AF$4&gt;='1_Assumptions'!$D$39,AF$4&lt;'1_Assumptions'!$D$39+'1_Assumptions'!$D$37),1/'1_Assumptions'!$D$37,0)</f>
        <v>0</v>
      </c>
      <c r="AG9" s="18" t="n">
        <f aca="false">IF(AND(AG$4&gt;='1_Assumptions'!$D$39,AG$4&lt;'1_Assumptions'!$D$39+'1_Assumptions'!$D$37),1/'1_Assumptions'!$D$37,0)</f>
        <v>0</v>
      </c>
      <c r="AH9" s="18" t="n">
        <f aca="false">IF(AND(AH$4&gt;='1_Assumptions'!$D$39,AH$4&lt;'1_Assumptions'!$D$39+'1_Assumptions'!$D$37),1/'1_Assumptions'!$D$37,0)</f>
        <v>0</v>
      </c>
      <c r="AI9" s="18" t="n">
        <f aca="false">IF(AND(AI$4&gt;='1_Assumptions'!$D$39,AI$4&lt;'1_Assumptions'!$D$39+'1_Assumptions'!$D$37),1/'1_Assumptions'!$D$37,0)</f>
        <v>0</v>
      </c>
      <c r="AJ9" s="18" t="n">
        <f aca="false">IF(AND(AJ$4&gt;='1_Assumptions'!$D$39,AJ$4&lt;'1_Assumptions'!$D$39+'1_Assumptions'!$D$37),1/'1_Assumptions'!$D$37,0)</f>
        <v>0</v>
      </c>
      <c r="AK9" s="18" t="n">
        <f aca="false">IF(AND(AK$4&gt;='1_Assumptions'!$D$39,AK$4&lt;'1_Assumptions'!$D$39+'1_Assumptions'!$D$37),1/'1_Assumptions'!$D$37,0)</f>
        <v>0.125</v>
      </c>
      <c r="AL9" s="18" t="n">
        <f aca="false">IF(AND(AL$4&gt;='1_Assumptions'!$D$39,AL$4&lt;'1_Assumptions'!$D$39+'1_Assumptions'!$D$37),1/'1_Assumptions'!$D$37,0)</f>
        <v>0.125</v>
      </c>
    </row>
    <row r="10" customFormat="false" ht="15" hidden="false" customHeight="false" outlineLevel="0" collapsed="false">
      <c r="B10" s="4" t="s">
        <v>247</v>
      </c>
      <c r="C10" s="18" t="n">
        <f aca="false">C7*1+C8*'1_Assumptions'!$D$10+C9*'1_Assumptions'!$D$11</f>
        <v>0</v>
      </c>
      <c r="D10" s="18" t="n">
        <f aca="false">D7*1+D8*'1_Assumptions'!$D$10+D9*'1_Assumptions'!$D$11</f>
        <v>0</v>
      </c>
      <c r="E10" s="18" t="n">
        <f aca="false">E7*1+E8*'1_Assumptions'!$D$10+E9*'1_Assumptions'!$D$11</f>
        <v>0</v>
      </c>
      <c r="F10" s="18" t="n">
        <f aca="false">F7*1+F8*'1_Assumptions'!$D$10+F9*'1_Assumptions'!$D$11</f>
        <v>0</v>
      </c>
      <c r="G10" s="18" t="n">
        <f aca="false">G7*1+G8*'1_Assumptions'!$D$10+G9*'1_Assumptions'!$D$11</f>
        <v>0</v>
      </c>
      <c r="H10" s="18" t="n">
        <f aca="false">H7*1+H8*'1_Assumptions'!$D$10+H9*'1_Assumptions'!$D$11</f>
        <v>0</v>
      </c>
      <c r="I10" s="18" t="n">
        <f aca="false">I7*1+I8*'1_Assumptions'!$D$10+I9*'1_Assumptions'!$D$11</f>
        <v>0</v>
      </c>
      <c r="J10" s="18" t="n">
        <f aca="false">J7*1+J8*'1_Assumptions'!$D$10+J9*'1_Assumptions'!$D$11</f>
        <v>0</v>
      </c>
      <c r="K10" s="18" t="n">
        <f aca="false">K7*1+K8*'1_Assumptions'!$D$10+K9*'1_Assumptions'!$D$11</f>
        <v>0</v>
      </c>
      <c r="L10" s="18" t="n">
        <f aca="false">L7*1+L8*'1_Assumptions'!$D$10+L9*'1_Assumptions'!$D$11</f>
        <v>0</v>
      </c>
      <c r="M10" s="18" t="n">
        <f aca="false">M7*1+M8*'1_Assumptions'!$D$10+M9*'1_Assumptions'!$D$11</f>
        <v>0.125</v>
      </c>
      <c r="N10" s="18" t="n">
        <f aca="false">N7*1+N8*'1_Assumptions'!$D$10+N9*'1_Assumptions'!$D$11</f>
        <v>0.125</v>
      </c>
      <c r="O10" s="18" t="n">
        <f aca="false">O7*1+O8*'1_Assumptions'!$D$10+O9*'1_Assumptions'!$D$11</f>
        <v>0.125</v>
      </c>
      <c r="P10" s="18" t="n">
        <f aca="false">P7*1+P8*'1_Assumptions'!$D$10+P9*'1_Assumptions'!$D$11</f>
        <v>0.125</v>
      </c>
      <c r="Q10" s="18" t="n">
        <f aca="false">Q7*1+Q8*'1_Assumptions'!$D$10+Q9*'1_Assumptions'!$D$11</f>
        <v>0.125</v>
      </c>
      <c r="R10" s="18" t="n">
        <f aca="false">R7*1+R8*'1_Assumptions'!$D$10+R9*'1_Assumptions'!$D$11</f>
        <v>0.125</v>
      </c>
      <c r="S10" s="18" t="n">
        <f aca="false">S7*1+S8*'1_Assumptions'!$D$10+S9*'1_Assumptions'!$D$11</f>
        <v>0.125</v>
      </c>
      <c r="T10" s="18" t="n">
        <f aca="false">T7*1+T8*'1_Assumptions'!$D$10+T9*'1_Assumptions'!$D$11</f>
        <v>0.125</v>
      </c>
      <c r="U10" s="18" t="n">
        <f aca="false">U7*1+U8*'1_Assumptions'!$D$10+U9*'1_Assumptions'!$D$11</f>
        <v>0</v>
      </c>
      <c r="V10" s="18" t="n">
        <f aca="false">V7*1+V8*'1_Assumptions'!$D$10+V9*'1_Assumptions'!$D$11</f>
        <v>0</v>
      </c>
      <c r="W10" s="18" t="n">
        <f aca="false">W7*1+W8*'1_Assumptions'!$D$10+W9*'1_Assumptions'!$D$11</f>
        <v>0</v>
      </c>
      <c r="X10" s="18" t="n">
        <f aca="false">X7*1+X8*'1_Assumptions'!$D$10+X9*'1_Assumptions'!$D$11</f>
        <v>0</v>
      </c>
      <c r="Y10" s="18" t="n">
        <f aca="false">Y7*1+Y8*'1_Assumptions'!$D$10+Y9*'1_Assumptions'!$D$11</f>
        <v>0.15625</v>
      </c>
      <c r="Z10" s="18" t="n">
        <f aca="false">Z7*1+Z8*'1_Assumptions'!$D$10+Z9*'1_Assumptions'!$D$11</f>
        <v>0.15625</v>
      </c>
      <c r="AA10" s="18" t="n">
        <f aca="false">AA7*1+AA8*'1_Assumptions'!$D$10+AA9*'1_Assumptions'!$D$11</f>
        <v>0.15625</v>
      </c>
      <c r="AB10" s="18" t="n">
        <f aca="false">AB7*1+AB8*'1_Assumptions'!$D$10+AB9*'1_Assumptions'!$D$11</f>
        <v>0.15625</v>
      </c>
      <c r="AC10" s="18" t="n">
        <f aca="false">AC7*1+AC8*'1_Assumptions'!$D$10+AC9*'1_Assumptions'!$D$11</f>
        <v>0.15625</v>
      </c>
      <c r="AD10" s="18" t="n">
        <f aca="false">AD7*1+AD8*'1_Assumptions'!$D$10+AD9*'1_Assumptions'!$D$11</f>
        <v>0.15625</v>
      </c>
      <c r="AE10" s="18" t="n">
        <f aca="false">AE7*1+AE8*'1_Assumptions'!$D$10+AE9*'1_Assumptions'!$D$11</f>
        <v>0.15625</v>
      </c>
      <c r="AF10" s="18" t="n">
        <f aca="false">AF7*1+AF8*'1_Assumptions'!$D$10+AF9*'1_Assumptions'!$D$11</f>
        <v>0.15625</v>
      </c>
      <c r="AG10" s="18" t="n">
        <f aca="false">AG7*1+AG8*'1_Assumptions'!$D$10+AG9*'1_Assumptions'!$D$11</f>
        <v>0</v>
      </c>
      <c r="AH10" s="18" t="n">
        <f aca="false">AH7*1+AH8*'1_Assumptions'!$D$10+AH9*'1_Assumptions'!$D$11</f>
        <v>0</v>
      </c>
      <c r="AI10" s="18" t="n">
        <f aca="false">AI7*1+AI8*'1_Assumptions'!$D$10+AI9*'1_Assumptions'!$D$11</f>
        <v>0</v>
      </c>
      <c r="AJ10" s="18" t="n">
        <f aca="false">AJ7*1+AJ8*'1_Assumptions'!$D$10+AJ9*'1_Assumptions'!$D$11</f>
        <v>0</v>
      </c>
      <c r="AK10" s="18" t="n">
        <f aca="false">AK7*1+AK8*'1_Assumptions'!$D$10+AK9*'1_Assumptions'!$D$11</f>
        <v>0.1875</v>
      </c>
      <c r="AL10" s="18" t="n">
        <f aca="false">AL7*1+AL8*'1_Assumptions'!$D$10+AL9*'1_Assumptions'!$D$11</f>
        <v>0.1875</v>
      </c>
    </row>
    <row r="12" customFormat="false" ht="15" hidden="false" customHeight="false" outlineLevel="0" collapsed="false">
      <c r="B12" s="16" t="s">
        <v>248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</row>
    <row r="13" customFormat="false" ht="15" hidden="false" customHeight="false" outlineLevel="0" collapsed="false">
      <c r="B13" s="4" t="s">
        <v>249</v>
      </c>
      <c r="C13" s="9" t="n">
        <f aca="false">C10*'1_Assumptions'!$D$73</f>
        <v>0</v>
      </c>
      <c r="D13" s="9" t="n">
        <f aca="false">D10*'1_Assumptions'!$D$73</f>
        <v>0</v>
      </c>
      <c r="E13" s="9" t="n">
        <f aca="false">E10*'1_Assumptions'!$D$73</f>
        <v>0</v>
      </c>
      <c r="F13" s="9" t="n">
        <f aca="false">F10*'1_Assumptions'!$D$73</f>
        <v>0</v>
      </c>
      <c r="G13" s="9" t="n">
        <f aca="false">G10*'1_Assumptions'!$D$73</f>
        <v>0</v>
      </c>
      <c r="H13" s="9" t="n">
        <f aca="false">H10*'1_Assumptions'!$D$73</f>
        <v>0</v>
      </c>
      <c r="I13" s="9" t="n">
        <f aca="false">I10*'1_Assumptions'!$D$73</f>
        <v>0</v>
      </c>
      <c r="J13" s="9" t="n">
        <f aca="false">J10*'1_Assumptions'!$D$73</f>
        <v>0</v>
      </c>
      <c r="K13" s="9" t="n">
        <f aca="false">K10*'1_Assumptions'!$D$73</f>
        <v>0</v>
      </c>
      <c r="L13" s="9" t="n">
        <f aca="false">L10*'1_Assumptions'!$D$73</f>
        <v>0</v>
      </c>
      <c r="M13" s="9" t="n">
        <f aca="false">M10*'1_Assumptions'!$D$73</f>
        <v>5025.6</v>
      </c>
      <c r="N13" s="9" t="n">
        <f aca="false">N10*'1_Assumptions'!$D$73</f>
        <v>5025.6</v>
      </c>
      <c r="O13" s="9" t="n">
        <f aca="false">O10*'1_Assumptions'!$D$73</f>
        <v>5025.6</v>
      </c>
      <c r="P13" s="9" t="n">
        <f aca="false">P10*'1_Assumptions'!$D$73</f>
        <v>5025.6</v>
      </c>
      <c r="Q13" s="9" t="n">
        <f aca="false">Q10*'1_Assumptions'!$D$73</f>
        <v>5025.6</v>
      </c>
      <c r="R13" s="9" t="n">
        <f aca="false">R10*'1_Assumptions'!$D$73</f>
        <v>5025.6</v>
      </c>
      <c r="S13" s="9" t="n">
        <f aca="false">S10*'1_Assumptions'!$D$73</f>
        <v>5025.6</v>
      </c>
      <c r="T13" s="9" t="n">
        <f aca="false">T10*'1_Assumptions'!$D$73</f>
        <v>5025.6</v>
      </c>
      <c r="U13" s="9" t="n">
        <f aca="false">U10*'1_Assumptions'!$D$73</f>
        <v>0</v>
      </c>
      <c r="V13" s="9" t="n">
        <f aca="false">V10*'1_Assumptions'!$D$73</f>
        <v>0</v>
      </c>
      <c r="W13" s="9" t="n">
        <f aca="false">W10*'1_Assumptions'!$D$73</f>
        <v>0</v>
      </c>
      <c r="X13" s="9" t="n">
        <f aca="false">X10*'1_Assumptions'!$D$73</f>
        <v>0</v>
      </c>
      <c r="Y13" s="9" t="n">
        <f aca="false">Y10*'1_Assumptions'!$D$73</f>
        <v>6282</v>
      </c>
      <c r="Z13" s="9" t="n">
        <f aca="false">Z10*'1_Assumptions'!$D$73</f>
        <v>6282</v>
      </c>
      <c r="AA13" s="9" t="n">
        <f aca="false">AA10*'1_Assumptions'!$D$73</f>
        <v>6282</v>
      </c>
      <c r="AB13" s="9" t="n">
        <f aca="false">AB10*'1_Assumptions'!$D$73</f>
        <v>6282</v>
      </c>
      <c r="AC13" s="9" t="n">
        <f aca="false">AC10*'1_Assumptions'!$D$73</f>
        <v>6282</v>
      </c>
      <c r="AD13" s="9" t="n">
        <f aca="false">AD10*'1_Assumptions'!$D$73</f>
        <v>6282</v>
      </c>
      <c r="AE13" s="9" t="n">
        <f aca="false">AE10*'1_Assumptions'!$D$73</f>
        <v>6282</v>
      </c>
      <c r="AF13" s="9" t="n">
        <f aca="false">AF10*'1_Assumptions'!$D$73</f>
        <v>6282</v>
      </c>
      <c r="AG13" s="9" t="n">
        <f aca="false">AG10*'1_Assumptions'!$D$73</f>
        <v>0</v>
      </c>
      <c r="AH13" s="9" t="n">
        <f aca="false">AH10*'1_Assumptions'!$D$73</f>
        <v>0</v>
      </c>
      <c r="AI13" s="9" t="n">
        <f aca="false">AI10*'1_Assumptions'!$D$73</f>
        <v>0</v>
      </c>
      <c r="AJ13" s="9" t="n">
        <f aca="false">AJ10*'1_Assumptions'!$D$73</f>
        <v>0</v>
      </c>
      <c r="AK13" s="9" t="n">
        <f aca="false">AK10*'1_Assumptions'!$D$73</f>
        <v>7538.4</v>
      </c>
      <c r="AL13" s="9" t="n">
        <f aca="false">AL10*'1_Assumptions'!$D$73</f>
        <v>7538.4</v>
      </c>
    </row>
    <row r="14" customFormat="false" ht="15" hidden="false" customHeight="false" outlineLevel="0" collapsed="false">
      <c r="B14" s="4" t="s">
        <v>250</v>
      </c>
      <c r="C14" s="9" t="n">
        <f aca="false">C10*'1_Assumptions'!$D$74</f>
        <v>0</v>
      </c>
      <c r="D14" s="9" t="n">
        <f aca="false">D10*'1_Assumptions'!$D$74</f>
        <v>0</v>
      </c>
      <c r="E14" s="9" t="n">
        <f aca="false">E10*'1_Assumptions'!$D$74</f>
        <v>0</v>
      </c>
      <c r="F14" s="9" t="n">
        <f aca="false">F10*'1_Assumptions'!$D$74</f>
        <v>0</v>
      </c>
      <c r="G14" s="9" t="n">
        <f aca="false">G10*'1_Assumptions'!$D$74</f>
        <v>0</v>
      </c>
      <c r="H14" s="9" t="n">
        <f aca="false">H10*'1_Assumptions'!$D$74</f>
        <v>0</v>
      </c>
      <c r="I14" s="9" t="n">
        <f aca="false">I10*'1_Assumptions'!$D$74</f>
        <v>0</v>
      </c>
      <c r="J14" s="9" t="n">
        <f aca="false">J10*'1_Assumptions'!$D$74</f>
        <v>0</v>
      </c>
      <c r="K14" s="9" t="n">
        <f aca="false">K10*'1_Assumptions'!$D$74</f>
        <v>0</v>
      </c>
      <c r="L14" s="9" t="n">
        <f aca="false">L10*'1_Assumptions'!$D$74</f>
        <v>0</v>
      </c>
      <c r="M14" s="9" t="n">
        <f aca="false">M10*'1_Assumptions'!$D$74</f>
        <v>7119.6</v>
      </c>
      <c r="N14" s="9" t="n">
        <f aca="false">N10*'1_Assumptions'!$D$74</f>
        <v>7119.6</v>
      </c>
      <c r="O14" s="9" t="n">
        <f aca="false">O10*'1_Assumptions'!$D$74</f>
        <v>7119.6</v>
      </c>
      <c r="P14" s="9" t="n">
        <f aca="false">P10*'1_Assumptions'!$D$74</f>
        <v>7119.6</v>
      </c>
      <c r="Q14" s="9" t="n">
        <f aca="false">Q10*'1_Assumptions'!$D$74</f>
        <v>7119.6</v>
      </c>
      <c r="R14" s="9" t="n">
        <f aca="false">R10*'1_Assumptions'!$D$74</f>
        <v>7119.6</v>
      </c>
      <c r="S14" s="9" t="n">
        <f aca="false">S10*'1_Assumptions'!$D$74</f>
        <v>7119.6</v>
      </c>
      <c r="T14" s="9" t="n">
        <f aca="false">T10*'1_Assumptions'!$D$74</f>
        <v>7119.6</v>
      </c>
      <c r="U14" s="9" t="n">
        <f aca="false">U10*'1_Assumptions'!$D$74</f>
        <v>0</v>
      </c>
      <c r="V14" s="9" t="n">
        <f aca="false">V10*'1_Assumptions'!$D$74</f>
        <v>0</v>
      </c>
      <c r="W14" s="9" t="n">
        <f aca="false">W10*'1_Assumptions'!$D$74</f>
        <v>0</v>
      </c>
      <c r="X14" s="9" t="n">
        <f aca="false">X10*'1_Assumptions'!$D$74</f>
        <v>0</v>
      </c>
      <c r="Y14" s="9" t="n">
        <f aca="false">Y10*'1_Assumptions'!$D$74</f>
        <v>8899.5</v>
      </c>
      <c r="Z14" s="9" t="n">
        <f aca="false">Z10*'1_Assumptions'!$D$74</f>
        <v>8899.5</v>
      </c>
      <c r="AA14" s="9" t="n">
        <f aca="false">AA10*'1_Assumptions'!$D$74</f>
        <v>8899.5</v>
      </c>
      <c r="AB14" s="9" t="n">
        <f aca="false">AB10*'1_Assumptions'!$D$74</f>
        <v>8899.5</v>
      </c>
      <c r="AC14" s="9" t="n">
        <f aca="false">AC10*'1_Assumptions'!$D$74</f>
        <v>8899.5</v>
      </c>
      <c r="AD14" s="9" t="n">
        <f aca="false">AD10*'1_Assumptions'!$D$74</f>
        <v>8899.5</v>
      </c>
      <c r="AE14" s="9" t="n">
        <f aca="false">AE10*'1_Assumptions'!$D$74</f>
        <v>8899.5</v>
      </c>
      <c r="AF14" s="9" t="n">
        <f aca="false">AF10*'1_Assumptions'!$D$74</f>
        <v>8899.5</v>
      </c>
      <c r="AG14" s="9" t="n">
        <f aca="false">AG10*'1_Assumptions'!$D$74</f>
        <v>0</v>
      </c>
      <c r="AH14" s="9" t="n">
        <f aca="false">AH10*'1_Assumptions'!$D$74</f>
        <v>0</v>
      </c>
      <c r="AI14" s="9" t="n">
        <f aca="false">AI10*'1_Assumptions'!$D$74</f>
        <v>0</v>
      </c>
      <c r="AJ14" s="9" t="n">
        <f aca="false">AJ10*'1_Assumptions'!$D$74</f>
        <v>0</v>
      </c>
      <c r="AK14" s="9" t="n">
        <f aca="false">AK10*'1_Assumptions'!$D$74</f>
        <v>10679.4</v>
      </c>
      <c r="AL14" s="9" t="n">
        <f aca="false">AL10*'1_Assumptions'!$D$74</f>
        <v>10679.4</v>
      </c>
    </row>
    <row r="15" customFormat="false" ht="15" hidden="false" customHeight="false" outlineLevel="0" collapsed="false">
      <c r="B15" s="4" t="s">
        <v>251</v>
      </c>
      <c r="C15" s="9" t="n">
        <f aca="false">C10*'1_Assumptions'!$D$76</f>
        <v>0</v>
      </c>
      <c r="D15" s="9" t="n">
        <f aca="false">D10*'1_Assumptions'!$D$76</f>
        <v>0</v>
      </c>
      <c r="E15" s="9" t="n">
        <f aca="false">E10*'1_Assumptions'!$D$76</f>
        <v>0</v>
      </c>
      <c r="F15" s="9" t="n">
        <f aca="false">F10*'1_Assumptions'!$D$76</f>
        <v>0</v>
      </c>
      <c r="G15" s="9" t="n">
        <f aca="false">G10*'1_Assumptions'!$D$76</f>
        <v>0</v>
      </c>
      <c r="H15" s="9" t="n">
        <f aca="false">H10*'1_Assumptions'!$D$76</f>
        <v>0</v>
      </c>
      <c r="I15" s="9" t="n">
        <f aca="false">I10*'1_Assumptions'!$D$76</f>
        <v>0</v>
      </c>
      <c r="J15" s="9" t="n">
        <f aca="false">J10*'1_Assumptions'!$D$76</f>
        <v>0</v>
      </c>
      <c r="K15" s="9" t="n">
        <f aca="false">K10*'1_Assumptions'!$D$76</f>
        <v>0</v>
      </c>
      <c r="L15" s="9" t="n">
        <f aca="false">L10*'1_Assumptions'!$D$76</f>
        <v>0</v>
      </c>
      <c r="M15" s="9" t="n">
        <f aca="false">M10*'1_Assumptions'!$D$76</f>
        <v>8319.25035942</v>
      </c>
      <c r="N15" s="9" t="n">
        <f aca="false">N10*'1_Assumptions'!$D$76</f>
        <v>8319.25035942</v>
      </c>
      <c r="O15" s="9" t="n">
        <f aca="false">O10*'1_Assumptions'!$D$76</f>
        <v>8319.25035942</v>
      </c>
      <c r="P15" s="9" t="n">
        <f aca="false">P10*'1_Assumptions'!$D$76</f>
        <v>8319.25035942</v>
      </c>
      <c r="Q15" s="9" t="n">
        <f aca="false">Q10*'1_Assumptions'!$D$76</f>
        <v>8319.25035942</v>
      </c>
      <c r="R15" s="9" t="n">
        <f aca="false">R10*'1_Assumptions'!$D$76</f>
        <v>8319.25035942</v>
      </c>
      <c r="S15" s="9" t="n">
        <f aca="false">S10*'1_Assumptions'!$D$76</f>
        <v>8319.25035942</v>
      </c>
      <c r="T15" s="9" t="n">
        <f aca="false">T10*'1_Assumptions'!$D$76</f>
        <v>8319.25035942</v>
      </c>
      <c r="U15" s="9" t="n">
        <f aca="false">U10*'1_Assumptions'!$D$76</f>
        <v>0</v>
      </c>
      <c r="V15" s="9" t="n">
        <f aca="false">V10*'1_Assumptions'!$D$76</f>
        <v>0</v>
      </c>
      <c r="W15" s="9" t="n">
        <f aca="false">W10*'1_Assumptions'!$D$76</f>
        <v>0</v>
      </c>
      <c r="X15" s="9" t="n">
        <f aca="false">X10*'1_Assumptions'!$D$76</f>
        <v>0</v>
      </c>
      <c r="Y15" s="9" t="n">
        <f aca="false">Y10*'1_Assumptions'!$D$76</f>
        <v>10399.062949275</v>
      </c>
      <c r="Z15" s="9" t="n">
        <f aca="false">Z10*'1_Assumptions'!$D$76</f>
        <v>10399.062949275</v>
      </c>
      <c r="AA15" s="9" t="n">
        <f aca="false">AA10*'1_Assumptions'!$D$76</f>
        <v>10399.062949275</v>
      </c>
      <c r="AB15" s="9" t="n">
        <f aca="false">AB10*'1_Assumptions'!$D$76</f>
        <v>10399.062949275</v>
      </c>
      <c r="AC15" s="9" t="n">
        <f aca="false">AC10*'1_Assumptions'!$D$76</f>
        <v>10399.062949275</v>
      </c>
      <c r="AD15" s="9" t="n">
        <f aca="false">AD10*'1_Assumptions'!$D$76</f>
        <v>10399.062949275</v>
      </c>
      <c r="AE15" s="9" t="n">
        <f aca="false">AE10*'1_Assumptions'!$D$76</f>
        <v>10399.062949275</v>
      </c>
      <c r="AF15" s="9" t="n">
        <f aca="false">AF10*'1_Assumptions'!$D$76</f>
        <v>10399.062949275</v>
      </c>
      <c r="AG15" s="9" t="n">
        <f aca="false">AG10*'1_Assumptions'!$D$76</f>
        <v>0</v>
      </c>
      <c r="AH15" s="9" t="n">
        <f aca="false">AH10*'1_Assumptions'!$D$76</f>
        <v>0</v>
      </c>
      <c r="AI15" s="9" t="n">
        <f aca="false">AI10*'1_Assumptions'!$D$76</f>
        <v>0</v>
      </c>
      <c r="AJ15" s="9" t="n">
        <f aca="false">AJ10*'1_Assumptions'!$D$76</f>
        <v>0</v>
      </c>
      <c r="AK15" s="9" t="n">
        <f aca="false">AK10*'1_Assumptions'!$D$76</f>
        <v>12478.87553913</v>
      </c>
      <c r="AL15" s="9" t="n">
        <f aca="false">AL10*'1_Assumptions'!$D$76</f>
        <v>12478.87553913</v>
      </c>
    </row>
    <row r="16" customFormat="false" ht="15" hidden="false" customHeight="false" outlineLevel="0" collapsed="false">
      <c r="B16" s="4" t="s">
        <v>252</v>
      </c>
      <c r="C16" s="9" t="n">
        <f aca="false">C10*'1_Assumptions'!$D$75</f>
        <v>0</v>
      </c>
      <c r="D16" s="9" t="n">
        <f aca="false">D10*'1_Assumptions'!$D$75</f>
        <v>0</v>
      </c>
      <c r="E16" s="9" t="n">
        <f aca="false">E10*'1_Assumptions'!$D$75</f>
        <v>0</v>
      </c>
      <c r="F16" s="9" t="n">
        <f aca="false">F10*'1_Assumptions'!$D$75</f>
        <v>0</v>
      </c>
      <c r="G16" s="9" t="n">
        <f aca="false">G10*'1_Assumptions'!$D$75</f>
        <v>0</v>
      </c>
      <c r="H16" s="9" t="n">
        <f aca="false">H10*'1_Assumptions'!$D$75</f>
        <v>0</v>
      </c>
      <c r="I16" s="9" t="n">
        <f aca="false">I10*'1_Assumptions'!$D$75</f>
        <v>0</v>
      </c>
      <c r="J16" s="9" t="n">
        <f aca="false">J10*'1_Assumptions'!$D$75</f>
        <v>0</v>
      </c>
      <c r="K16" s="9" t="n">
        <f aca="false">K10*'1_Assumptions'!$D$75</f>
        <v>0</v>
      </c>
      <c r="L16" s="9" t="n">
        <f aca="false">L10*'1_Assumptions'!$D$75</f>
        <v>0</v>
      </c>
      <c r="M16" s="9" t="n">
        <f aca="false">M10*'1_Assumptions'!$D$75</f>
        <v>49865.63652</v>
      </c>
      <c r="N16" s="9" t="n">
        <f aca="false">N10*'1_Assumptions'!$D$75</f>
        <v>49865.63652</v>
      </c>
      <c r="O16" s="9" t="n">
        <f aca="false">O10*'1_Assumptions'!$D$75</f>
        <v>49865.63652</v>
      </c>
      <c r="P16" s="9" t="n">
        <f aca="false">P10*'1_Assumptions'!$D$75</f>
        <v>49865.63652</v>
      </c>
      <c r="Q16" s="9" t="n">
        <f aca="false">Q10*'1_Assumptions'!$D$75</f>
        <v>49865.63652</v>
      </c>
      <c r="R16" s="9" t="n">
        <f aca="false">R10*'1_Assumptions'!$D$75</f>
        <v>49865.63652</v>
      </c>
      <c r="S16" s="9" t="n">
        <f aca="false">S10*'1_Assumptions'!$D$75</f>
        <v>49865.63652</v>
      </c>
      <c r="T16" s="9" t="n">
        <f aca="false">T10*'1_Assumptions'!$D$75</f>
        <v>49865.63652</v>
      </c>
      <c r="U16" s="9" t="n">
        <f aca="false">U10*'1_Assumptions'!$D$75</f>
        <v>0</v>
      </c>
      <c r="V16" s="9" t="n">
        <f aca="false">V10*'1_Assumptions'!$D$75</f>
        <v>0</v>
      </c>
      <c r="W16" s="9" t="n">
        <f aca="false">W10*'1_Assumptions'!$D$75</f>
        <v>0</v>
      </c>
      <c r="X16" s="9" t="n">
        <f aca="false">X10*'1_Assumptions'!$D$75</f>
        <v>0</v>
      </c>
      <c r="Y16" s="9" t="n">
        <f aca="false">Y10*'1_Assumptions'!$D$75</f>
        <v>62332.04565</v>
      </c>
      <c r="Z16" s="9" t="n">
        <f aca="false">Z10*'1_Assumptions'!$D$75</f>
        <v>62332.04565</v>
      </c>
      <c r="AA16" s="9" t="n">
        <f aca="false">AA10*'1_Assumptions'!$D$75</f>
        <v>62332.04565</v>
      </c>
      <c r="AB16" s="9" t="n">
        <f aca="false">AB10*'1_Assumptions'!$D$75</f>
        <v>62332.04565</v>
      </c>
      <c r="AC16" s="9" t="n">
        <f aca="false">AC10*'1_Assumptions'!$D$75</f>
        <v>62332.04565</v>
      </c>
      <c r="AD16" s="9" t="n">
        <f aca="false">AD10*'1_Assumptions'!$D$75</f>
        <v>62332.04565</v>
      </c>
      <c r="AE16" s="9" t="n">
        <f aca="false">AE10*'1_Assumptions'!$D$75</f>
        <v>62332.04565</v>
      </c>
      <c r="AF16" s="9" t="n">
        <f aca="false">AF10*'1_Assumptions'!$D$75</f>
        <v>62332.04565</v>
      </c>
      <c r="AG16" s="9" t="n">
        <f aca="false">AG10*'1_Assumptions'!$D$75</f>
        <v>0</v>
      </c>
      <c r="AH16" s="9" t="n">
        <f aca="false">AH10*'1_Assumptions'!$D$75</f>
        <v>0</v>
      </c>
      <c r="AI16" s="9" t="n">
        <f aca="false">AI10*'1_Assumptions'!$D$75</f>
        <v>0</v>
      </c>
      <c r="AJ16" s="9" t="n">
        <f aca="false">AJ10*'1_Assumptions'!$D$75</f>
        <v>0</v>
      </c>
      <c r="AK16" s="9" t="n">
        <f aca="false">AK10*'1_Assumptions'!$D$75</f>
        <v>74798.45478</v>
      </c>
      <c r="AL16" s="9" t="n">
        <f aca="false">AL10*'1_Assumptions'!$D$75</f>
        <v>74798.45478</v>
      </c>
    </row>
    <row r="17" customFormat="false" ht="15" hidden="false" customHeight="false" outlineLevel="0" collapsed="false">
      <c r="B17" s="4" t="s">
        <v>253</v>
      </c>
      <c r="C17" s="14" t="n">
        <f aca="false">C13*'1_Assumptions'!$D$19+C14*'1_Assumptions'!$D$20+C15*'1_Assumptions'!$D$21+C16*'1_Assumptions'!$D$22</f>
        <v>0</v>
      </c>
      <c r="D17" s="14" t="n">
        <f aca="false">D13*'1_Assumptions'!$D$19+D14*'1_Assumptions'!$D$20+D15*'1_Assumptions'!$D$21+D16*'1_Assumptions'!$D$22</f>
        <v>0</v>
      </c>
      <c r="E17" s="14" t="n">
        <f aca="false">E13*'1_Assumptions'!$D$19+E14*'1_Assumptions'!$D$20+E15*'1_Assumptions'!$D$21+E16*'1_Assumptions'!$D$22</f>
        <v>0</v>
      </c>
      <c r="F17" s="14" t="n">
        <f aca="false">F13*'1_Assumptions'!$D$19+F14*'1_Assumptions'!$D$20+F15*'1_Assumptions'!$D$21+F16*'1_Assumptions'!$D$22</f>
        <v>0</v>
      </c>
      <c r="G17" s="14" t="n">
        <f aca="false">G13*'1_Assumptions'!$D$19+G14*'1_Assumptions'!$D$20+G15*'1_Assumptions'!$D$21+G16*'1_Assumptions'!$D$22</f>
        <v>0</v>
      </c>
      <c r="H17" s="14" t="n">
        <f aca="false">H13*'1_Assumptions'!$D$19+H14*'1_Assumptions'!$D$20+H15*'1_Assumptions'!$D$21+H16*'1_Assumptions'!$D$22</f>
        <v>0</v>
      </c>
      <c r="I17" s="14" t="n">
        <f aca="false">I13*'1_Assumptions'!$D$19+I14*'1_Assumptions'!$D$20+I15*'1_Assumptions'!$D$21+I16*'1_Assumptions'!$D$22</f>
        <v>0</v>
      </c>
      <c r="J17" s="14" t="n">
        <f aca="false">J13*'1_Assumptions'!$D$19+J14*'1_Assumptions'!$D$20+J15*'1_Assumptions'!$D$21+J16*'1_Assumptions'!$D$22</f>
        <v>0</v>
      </c>
      <c r="K17" s="14" t="n">
        <f aca="false">K13*'1_Assumptions'!$D$19+K14*'1_Assumptions'!$D$20+K15*'1_Assumptions'!$D$21+K16*'1_Assumptions'!$D$22</f>
        <v>0</v>
      </c>
      <c r="L17" s="14" t="n">
        <f aca="false">L13*'1_Assumptions'!$D$19+L14*'1_Assumptions'!$D$20+L15*'1_Assumptions'!$D$21+L16*'1_Assumptions'!$D$22</f>
        <v>0</v>
      </c>
      <c r="M17" s="14" t="n">
        <f aca="false">M13*'1_Assumptions'!$D$19+M14*'1_Assumptions'!$D$20+M15*'1_Assumptions'!$D$21+M16*'1_Assumptions'!$D$22</f>
        <v>1534123.0373397</v>
      </c>
      <c r="N17" s="14" t="n">
        <f aca="false">N13*'1_Assumptions'!$D$19+N14*'1_Assumptions'!$D$20+N15*'1_Assumptions'!$D$21+N16*'1_Assumptions'!$D$22</f>
        <v>1534123.0373397</v>
      </c>
      <c r="O17" s="14" t="n">
        <f aca="false">O13*'1_Assumptions'!$D$19+O14*'1_Assumptions'!$D$20+O15*'1_Assumptions'!$D$21+O16*'1_Assumptions'!$D$22</f>
        <v>1534123.0373397</v>
      </c>
      <c r="P17" s="14" t="n">
        <f aca="false">P13*'1_Assumptions'!$D$19+P14*'1_Assumptions'!$D$20+P15*'1_Assumptions'!$D$21+P16*'1_Assumptions'!$D$22</f>
        <v>1534123.0373397</v>
      </c>
      <c r="Q17" s="14" t="n">
        <f aca="false">Q13*'1_Assumptions'!$D$19+Q14*'1_Assumptions'!$D$20+Q15*'1_Assumptions'!$D$21+Q16*'1_Assumptions'!$D$22</f>
        <v>1534123.0373397</v>
      </c>
      <c r="R17" s="14" t="n">
        <f aca="false">R13*'1_Assumptions'!$D$19+R14*'1_Assumptions'!$D$20+R15*'1_Assumptions'!$D$21+R16*'1_Assumptions'!$D$22</f>
        <v>1534123.0373397</v>
      </c>
      <c r="S17" s="14" t="n">
        <f aca="false">S13*'1_Assumptions'!$D$19+S14*'1_Assumptions'!$D$20+S15*'1_Assumptions'!$D$21+S16*'1_Assumptions'!$D$22</f>
        <v>1534123.0373397</v>
      </c>
      <c r="T17" s="14" t="n">
        <f aca="false">T13*'1_Assumptions'!$D$19+T14*'1_Assumptions'!$D$20+T15*'1_Assumptions'!$D$21+T16*'1_Assumptions'!$D$22</f>
        <v>1534123.0373397</v>
      </c>
      <c r="U17" s="14" t="n">
        <f aca="false">U13*'1_Assumptions'!$D$19+U14*'1_Assumptions'!$D$20+U15*'1_Assumptions'!$D$21+U16*'1_Assumptions'!$D$22</f>
        <v>0</v>
      </c>
      <c r="V17" s="14" t="n">
        <f aca="false">V13*'1_Assumptions'!$D$19+V14*'1_Assumptions'!$D$20+V15*'1_Assumptions'!$D$21+V16*'1_Assumptions'!$D$22</f>
        <v>0</v>
      </c>
      <c r="W17" s="14" t="n">
        <f aca="false">W13*'1_Assumptions'!$D$19+W14*'1_Assumptions'!$D$20+W15*'1_Assumptions'!$D$21+W16*'1_Assumptions'!$D$22</f>
        <v>0</v>
      </c>
      <c r="X17" s="14" t="n">
        <f aca="false">X13*'1_Assumptions'!$D$19+X14*'1_Assumptions'!$D$20+X15*'1_Assumptions'!$D$21+X16*'1_Assumptions'!$D$22</f>
        <v>0</v>
      </c>
      <c r="Y17" s="14" t="n">
        <f aca="false">Y13*'1_Assumptions'!$D$19+Y14*'1_Assumptions'!$D$20+Y15*'1_Assumptions'!$D$21+Y16*'1_Assumptions'!$D$22</f>
        <v>1917653.79667463</v>
      </c>
      <c r="Z17" s="14" t="n">
        <f aca="false">Z13*'1_Assumptions'!$D$19+Z14*'1_Assumptions'!$D$20+Z15*'1_Assumptions'!$D$21+Z16*'1_Assumptions'!$D$22</f>
        <v>1917653.79667463</v>
      </c>
      <c r="AA17" s="14" t="n">
        <f aca="false">AA13*'1_Assumptions'!$D$19+AA14*'1_Assumptions'!$D$20+AA15*'1_Assumptions'!$D$21+AA16*'1_Assumptions'!$D$22</f>
        <v>1917653.79667463</v>
      </c>
      <c r="AB17" s="14" t="n">
        <f aca="false">AB13*'1_Assumptions'!$D$19+AB14*'1_Assumptions'!$D$20+AB15*'1_Assumptions'!$D$21+AB16*'1_Assumptions'!$D$22</f>
        <v>1917653.79667463</v>
      </c>
      <c r="AC17" s="14" t="n">
        <f aca="false">AC13*'1_Assumptions'!$D$19+AC14*'1_Assumptions'!$D$20+AC15*'1_Assumptions'!$D$21+AC16*'1_Assumptions'!$D$22</f>
        <v>1917653.79667463</v>
      </c>
      <c r="AD17" s="14" t="n">
        <f aca="false">AD13*'1_Assumptions'!$D$19+AD14*'1_Assumptions'!$D$20+AD15*'1_Assumptions'!$D$21+AD16*'1_Assumptions'!$D$22</f>
        <v>1917653.79667463</v>
      </c>
      <c r="AE17" s="14" t="n">
        <f aca="false">AE13*'1_Assumptions'!$D$19+AE14*'1_Assumptions'!$D$20+AE15*'1_Assumptions'!$D$21+AE16*'1_Assumptions'!$D$22</f>
        <v>1917653.79667463</v>
      </c>
      <c r="AF17" s="14" t="n">
        <f aca="false">AF13*'1_Assumptions'!$D$19+AF14*'1_Assumptions'!$D$20+AF15*'1_Assumptions'!$D$21+AF16*'1_Assumptions'!$D$22</f>
        <v>1917653.79667463</v>
      </c>
      <c r="AG17" s="14" t="n">
        <f aca="false">AG13*'1_Assumptions'!$D$19+AG14*'1_Assumptions'!$D$20+AG15*'1_Assumptions'!$D$21+AG16*'1_Assumptions'!$D$22</f>
        <v>0</v>
      </c>
      <c r="AH17" s="14" t="n">
        <f aca="false">AH13*'1_Assumptions'!$D$19+AH14*'1_Assumptions'!$D$20+AH15*'1_Assumptions'!$D$21+AH16*'1_Assumptions'!$D$22</f>
        <v>0</v>
      </c>
      <c r="AI17" s="14" t="n">
        <f aca="false">AI13*'1_Assumptions'!$D$19+AI14*'1_Assumptions'!$D$20+AI15*'1_Assumptions'!$D$21+AI16*'1_Assumptions'!$D$22</f>
        <v>0</v>
      </c>
      <c r="AJ17" s="14" t="n">
        <f aca="false">AJ13*'1_Assumptions'!$D$19+AJ14*'1_Assumptions'!$D$20+AJ15*'1_Assumptions'!$D$21+AJ16*'1_Assumptions'!$D$22</f>
        <v>0</v>
      </c>
      <c r="AK17" s="14" t="n">
        <f aca="false">AK13*'1_Assumptions'!$D$19+AK14*'1_Assumptions'!$D$20+AK15*'1_Assumptions'!$D$21+AK16*'1_Assumptions'!$D$22</f>
        <v>2301184.55600955</v>
      </c>
      <c r="AL17" s="14" t="n">
        <f aca="false">AL13*'1_Assumptions'!$D$19+AL14*'1_Assumptions'!$D$20+AL15*'1_Assumptions'!$D$21+AL16*'1_Assumptions'!$D$22</f>
        <v>2301184.55600955</v>
      </c>
    </row>
    <row r="18" customFormat="false" ht="15" hidden="false" customHeight="false" outlineLevel="0" collapsed="false">
      <c r="B18" s="4" t="s">
        <v>254</v>
      </c>
      <c r="C18" s="14" t="n">
        <f aca="false">IF(C$4&gt;='1_Assumptions'!$D$35,'1_Assumptions'!$D$34,0)</f>
        <v>0</v>
      </c>
      <c r="D18" s="14" t="n">
        <f aca="false">IF(D$4&gt;='1_Assumptions'!$D$35,'1_Assumptions'!$D$34,0)</f>
        <v>0</v>
      </c>
      <c r="E18" s="14" t="n">
        <f aca="false">IF(E$4&gt;='1_Assumptions'!$D$35,'1_Assumptions'!$D$34,0)</f>
        <v>0</v>
      </c>
      <c r="F18" s="14" t="n">
        <f aca="false">IF(F$4&gt;='1_Assumptions'!$D$35,'1_Assumptions'!$D$34,0)</f>
        <v>0</v>
      </c>
      <c r="G18" s="14" t="n">
        <f aca="false">IF(G$4&gt;='1_Assumptions'!$D$35,'1_Assumptions'!$D$34,0)</f>
        <v>0</v>
      </c>
      <c r="H18" s="14" t="n">
        <f aca="false">IF(H$4&gt;='1_Assumptions'!$D$35,'1_Assumptions'!$D$34,0)</f>
        <v>0</v>
      </c>
      <c r="I18" s="14" t="n">
        <f aca="false">IF(I$4&gt;='1_Assumptions'!$D$35,'1_Assumptions'!$D$34,0)</f>
        <v>24167</v>
      </c>
      <c r="J18" s="14" t="n">
        <f aca="false">IF(J$4&gt;='1_Assumptions'!$D$35,'1_Assumptions'!$D$34,0)</f>
        <v>24167</v>
      </c>
      <c r="K18" s="14" t="n">
        <f aca="false">IF(K$4&gt;='1_Assumptions'!$D$35,'1_Assumptions'!$D$34,0)</f>
        <v>24167</v>
      </c>
      <c r="L18" s="14" t="n">
        <f aca="false">IF(L$4&gt;='1_Assumptions'!$D$35,'1_Assumptions'!$D$34,0)</f>
        <v>24167</v>
      </c>
      <c r="M18" s="14" t="n">
        <f aca="false">IF(M$4&gt;='1_Assumptions'!$D$35,'1_Assumptions'!$D$34,0)</f>
        <v>24167</v>
      </c>
      <c r="N18" s="14" t="n">
        <f aca="false">IF(N$4&gt;='1_Assumptions'!$D$35,'1_Assumptions'!$D$34,0)</f>
        <v>24167</v>
      </c>
      <c r="O18" s="14" t="n">
        <f aca="false">IF(O$4&gt;='1_Assumptions'!$D$35,'1_Assumptions'!$D$34,0)</f>
        <v>24167</v>
      </c>
      <c r="P18" s="14" t="n">
        <f aca="false">IF(P$4&gt;='1_Assumptions'!$D$35,'1_Assumptions'!$D$34,0)</f>
        <v>24167</v>
      </c>
      <c r="Q18" s="14" t="n">
        <f aca="false">IF(Q$4&gt;='1_Assumptions'!$D$35,'1_Assumptions'!$D$34,0)</f>
        <v>24167</v>
      </c>
      <c r="R18" s="14" t="n">
        <f aca="false">IF(R$4&gt;='1_Assumptions'!$D$35,'1_Assumptions'!$D$34,0)</f>
        <v>24167</v>
      </c>
      <c r="S18" s="14" t="n">
        <f aca="false">IF(S$4&gt;='1_Assumptions'!$D$35,'1_Assumptions'!$D$34,0)</f>
        <v>24167</v>
      </c>
      <c r="T18" s="14" t="n">
        <f aca="false">IF(T$4&gt;='1_Assumptions'!$D$35,'1_Assumptions'!$D$34,0)</f>
        <v>24167</v>
      </c>
      <c r="U18" s="14" t="n">
        <f aca="false">IF(U$4&gt;='1_Assumptions'!$D$35,'1_Assumptions'!$D$34,0)</f>
        <v>24167</v>
      </c>
      <c r="V18" s="14" t="n">
        <f aca="false">IF(V$4&gt;='1_Assumptions'!$D$35,'1_Assumptions'!$D$34,0)</f>
        <v>24167</v>
      </c>
      <c r="W18" s="14" t="n">
        <f aca="false">IF(W$4&gt;='1_Assumptions'!$D$35,'1_Assumptions'!$D$34,0)</f>
        <v>24167</v>
      </c>
      <c r="X18" s="14" t="n">
        <f aca="false">IF(X$4&gt;='1_Assumptions'!$D$35,'1_Assumptions'!$D$34,0)</f>
        <v>24167</v>
      </c>
      <c r="Y18" s="14" t="n">
        <f aca="false">IF(Y$4&gt;='1_Assumptions'!$D$35,'1_Assumptions'!$D$34,0)</f>
        <v>24167</v>
      </c>
      <c r="Z18" s="14" t="n">
        <f aca="false">IF(Z$4&gt;='1_Assumptions'!$D$35,'1_Assumptions'!$D$34,0)</f>
        <v>24167</v>
      </c>
      <c r="AA18" s="14" t="n">
        <f aca="false">IF(AA$4&gt;='1_Assumptions'!$D$35,'1_Assumptions'!$D$34,0)</f>
        <v>24167</v>
      </c>
      <c r="AB18" s="14" t="n">
        <f aca="false">IF(AB$4&gt;='1_Assumptions'!$D$35,'1_Assumptions'!$D$34,0)</f>
        <v>24167</v>
      </c>
      <c r="AC18" s="14" t="n">
        <f aca="false">IF(AC$4&gt;='1_Assumptions'!$D$35,'1_Assumptions'!$D$34,0)</f>
        <v>24167</v>
      </c>
      <c r="AD18" s="14" t="n">
        <f aca="false">IF(AD$4&gt;='1_Assumptions'!$D$35,'1_Assumptions'!$D$34,0)</f>
        <v>24167</v>
      </c>
      <c r="AE18" s="14" t="n">
        <f aca="false">IF(AE$4&gt;='1_Assumptions'!$D$35,'1_Assumptions'!$D$34,0)</f>
        <v>24167</v>
      </c>
      <c r="AF18" s="14" t="n">
        <f aca="false">IF(AF$4&gt;='1_Assumptions'!$D$35,'1_Assumptions'!$D$34,0)</f>
        <v>24167</v>
      </c>
      <c r="AG18" s="14" t="n">
        <f aca="false">IF(AG$4&gt;='1_Assumptions'!$D$35,'1_Assumptions'!$D$34,0)</f>
        <v>24167</v>
      </c>
      <c r="AH18" s="14" t="n">
        <f aca="false">IF(AH$4&gt;='1_Assumptions'!$D$35,'1_Assumptions'!$D$34,0)</f>
        <v>24167</v>
      </c>
      <c r="AI18" s="14" t="n">
        <f aca="false">IF(AI$4&gt;='1_Assumptions'!$D$35,'1_Assumptions'!$D$34,0)</f>
        <v>24167</v>
      </c>
      <c r="AJ18" s="14" t="n">
        <f aca="false">IF(AJ$4&gt;='1_Assumptions'!$D$35,'1_Assumptions'!$D$34,0)</f>
        <v>24167</v>
      </c>
      <c r="AK18" s="14" t="n">
        <f aca="false">IF(AK$4&gt;='1_Assumptions'!$D$35,'1_Assumptions'!$D$34,0)</f>
        <v>24167</v>
      </c>
      <c r="AL18" s="14" t="n">
        <f aca="false">IF(AL$4&gt;='1_Assumptions'!$D$35,'1_Assumptions'!$D$34,0)</f>
        <v>24167</v>
      </c>
    </row>
    <row r="19" customFormat="false" ht="15" hidden="false" customHeight="false" outlineLevel="0" collapsed="false">
      <c r="B19" s="19" t="s">
        <v>255</v>
      </c>
      <c r="C19" s="14" t="n">
        <f aca="false">C17+C18</f>
        <v>0</v>
      </c>
      <c r="D19" s="14" t="n">
        <f aca="false">D17+D18</f>
        <v>0</v>
      </c>
      <c r="E19" s="14" t="n">
        <f aca="false">E17+E18</f>
        <v>0</v>
      </c>
      <c r="F19" s="14" t="n">
        <f aca="false">F17+F18</f>
        <v>0</v>
      </c>
      <c r="G19" s="14" t="n">
        <f aca="false">G17+G18</f>
        <v>0</v>
      </c>
      <c r="H19" s="14" t="n">
        <f aca="false">H17+H18</f>
        <v>0</v>
      </c>
      <c r="I19" s="14" t="n">
        <f aca="false">I17+I18</f>
        <v>24167</v>
      </c>
      <c r="J19" s="14" t="n">
        <f aca="false">J17+J18</f>
        <v>24167</v>
      </c>
      <c r="K19" s="14" t="n">
        <f aca="false">K17+K18</f>
        <v>24167</v>
      </c>
      <c r="L19" s="14" t="n">
        <f aca="false">L17+L18</f>
        <v>24167</v>
      </c>
      <c r="M19" s="14" t="n">
        <f aca="false">M17+M18</f>
        <v>1558290.0373397</v>
      </c>
      <c r="N19" s="14" t="n">
        <f aca="false">N17+N18</f>
        <v>1558290.0373397</v>
      </c>
      <c r="O19" s="14" t="n">
        <f aca="false">O17+O18</f>
        <v>1558290.0373397</v>
      </c>
      <c r="P19" s="14" t="n">
        <f aca="false">P17+P18</f>
        <v>1558290.0373397</v>
      </c>
      <c r="Q19" s="14" t="n">
        <f aca="false">Q17+Q18</f>
        <v>1558290.0373397</v>
      </c>
      <c r="R19" s="14" t="n">
        <f aca="false">R17+R18</f>
        <v>1558290.0373397</v>
      </c>
      <c r="S19" s="14" t="n">
        <f aca="false">S17+S18</f>
        <v>1558290.0373397</v>
      </c>
      <c r="T19" s="14" t="n">
        <f aca="false">T17+T18</f>
        <v>1558290.0373397</v>
      </c>
      <c r="U19" s="14" t="n">
        <f aca="false">U17+U18</f>
        <v>24167</v>
      </c>
      <c r="V19" s="14" t="n">
        <f aca="false">V17+V18</f>
        <v>24167</v>
      </c>
      <c r="W19" s="14" t="n">
        <f aca="false">W17+W18</f>
        <v>24167</v>
      </c>
      <c r="X19" s="14" t="n">
        <f aca="false">X17+X18</f>
        <v>24167</v>
      </c>
      <c r="Y19" s="14" t="n">
        <f aca="false">Y17+Y18</f>
        <v>1941820.79667463</v>
      </c>
      <c r="Z19" s="14" t="n">
        <f aca="false">Z17+Z18</f>
        <v>1941820.79667463</v>
      </c>
      <c r="AA19" s="14" t="n">
        <f aca="false">AA17+AA18</f>
        <v>1941820.79667463</v>
      </c>
      <c r="AB19" s="14" t="n">
        <f aca="false">AB17+AB18</f>
        <v>1941820.79667463</v>
      </c>
      <c r="AC19" s="14" t="n">
        <f aca="false">AC17+AC18</f>
        <v>1941820.79667463</v>
      </c>
      <c r="AD19" s="14" t="n">
        <f aca="false">AD17+AD18</f>
        <v>1941820.79667463</v>
      </c>
      <c r="AE19" s="14" t="n">
        <f aca="false">AE17+AE18</f>
        <v>1941820.79667463</v>
      </c>
      <c r="AF19" s="14" t="n">
        <f aca="false">AF17+AF18</f>
        <v>1941820.79667463</v>
      </c>
      <c r="AG19" s="14" t="n">
        <f aca="false">AG17+AG18</f>
        <v>24167</v>
      </c>
      <c r="AH19" s="14" t="n">
        <f aca="false">AH17+AH18</f>
        <v>24167</v>
      </c>
      <c r="AI19" s="14" t="n">
        <f aca="false">AI17+AI18</f>
        <v>24167</v>
      </c>
      <c r="AJ19" s="14" t="n">
        <f aca="false">AJ17+AJ18</f>
        <v>24167</v>
      </c>
      <c r="AK19" s="14" t="n">
        <f aca="false">AK17+AK18</f>
        <v>2325351.55600955</v>
      </c>
      <c r="AL19" s="14" t="n">
        <f aca="false">AL17+AL18</f>
        <v>2325351.55600955</v>
      </c>
    </row>
    <row r="21" customFormat="false" ht="15" hidden="false" customHeight="false" outlineLevel="0" collapsed="false">
      <c r="B21" s="16" t="s">
        <v>256</v>
      </c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</row>
    <row r="22" customFormat="false" ht="15" hidden="false" customHeight="false" outlineLevel="0" collapsed="false">
      <c r="B22" s="4" t="s">
        <v>257</v>
      </c>
      <c r="C22" s="9" t="n">
        <f aca="false">IF('0_Control'!$B$5=2,IF(C$4&gt;='1_Assumptions'!$D$42,IF(C$4&lt;=18,'1_Assumptions'!$D$43,IF(C$4&lt;=30,'1_Assumptions'!$D$44,'1_Assumptions'!$D$45)),0),0)</f>
        <v>0</v>
      </c>
      <c r="D22" s="9" t="n">
        <f aca="false">IF('0_Control'!$B$5=2,IF(D$4&gt;='1_Assumptions'!$D$42,IF(D$4&lt;=18,'1_Assumptions'!$D$43,IF(D$4&lt;=30,'1_Assumptions'!$D$44,'1_Assumptions'!$D$45)),0),0)</f>
        <v>0</v>
      </c>
      <c r="E22" s="9" t="n">
        <f aca="false">IF('0_Control'!$B$5=2,IF(E$4&gt;='1_Assumptions'!$D$42,IF(E$4&lt;=18,'1_Assumptions'!$D$43,IF(E$4&lt;=30,'1_Assumptions'!$D$44,'1_Assumptions'!$D$45)),0),0)</f>
        <v>0</v>
      </c>
      <c r="F22" s="9" t="n">
        <f aca="false">IF('0_Control'!$B$5=2,IF(F$4&gt;='1_Assumptions'!$D$42,IF(F$4&lt;=18,'1_Assumptions'!$D$43,IF(F$4&lt;=30,'1_Assumptions'!$D$44,'1_Assumptions'!$D$45)),0),0)</f>
        <v>0</v>
      </c>
      <c r="G22" s="9" t="n">
        <f aca="false">IF('0_Control'!$B$5=2,IF(G$4&gt;='1_Assumptions'!$D$42,IF(G$4&lt;=18,'1_Assumptions'!$D$43,IF(G$4&lt;=30,'1_Assumptions'!$D$44,'1_Assumptions'!$D$45)),0),0)</f>
        <v>0</v>
      </c>
      <c r="H22" s="9" t="n">
        <f aca="false">IF('0_Control'!$B$5=2,IF(H$4&gt;='1_Assumptions'!$D$42,IF(H$4&lt;=18,'1_Assumptions'!$D$43,IF(H$4&lt;=30,'1_Assumptions'!$D$44,'1_Assumptions'!$D$45)),0),0)</f>
        <v>0</v>
      </c>
      <c r="I22" s="9" t="n">
        <f aca="false">IF('0_Control'!$B$5=2,IF(I$4&gt;='1_Assumptions'!$D$42,IF(I$4&lt;=18,'1_Assumptions'!$D$43,IF(I$4&lt;=30,'1_Assumptions'!$D$44,'1_Assumptions'!$D$45)),0),0)</f>
        <v>0</v>
      </c>
      <c r="J22" s="9" t="n">
        <f aca="false">IF('0_Control'!$B$5=2,IF(J$4&gt;='1_Assumptions'!$D$42,IF(J$4&lt;=18,'1_Assumptions'!$D$43,IF(J$4&lt;=30,'1_Assumptions'!$D$44,'1_Assumptions'!$D$45)),0),0)</f>
        <v>0</v>
      </c>
      <c r="K22" s="9" t="n">
        <f aca="false">IF('0_Control'!$B$5=2,IF(K$4&gt;='1_Assumptions'!$D$42,IF(K$4&lt;=18,'1_Assumptions'!$D$43,IF(K$4&lt;=30,'1_Assumptions'!$D$44,'1_Assumptions'!$D$45)),0),0)</f>
        <v>0</v>
      </c>
      <c r="L22" s="9" t="n">
        <f aca="false">IF('0_Control'!$B$5=2,IF(L$4&gt;='1_Assumptions'!$D$42,IF(L$4&lt;=18,'1_Assumptions'!$D$43,IF(L$4&lt;=30,'1_Assumptions'!$D$44,'1_Assumptions'!$D$45)),0),0)</f>
        <v>0</v>
      </c>
      <c r="M22" s="9" t="n">
        <f aca="false">IF('0_Control'!$B$5=2,IF(M$4&gt;='1_Assumptions'!$D$42,IF(M$4&lt;=18,'1_Assumptions'!$D$43,IF(M$4&lt;=30,'1_Assumptions'!$D$44,'1_Assumptions'!$D$45)),0),0)</f>
        <v>0</v>
      </c>
      <c r="N22" s="9" t="n">
        <f aca="false">IF('0_Control'!$B$5=2,IF(N$4&gt;='1_Assumptions'!$D$42,IF(N$4&lt;=18,'1_Assumptions'!$D$43,IF(N$4&lt;=30,'1_Assumptions'!$D$44,'1_Assumptions'!$D$45)),0),0)</f>
        <v>0</v>
      </c>
      <c r="O22" s="9" t="n">
        <f aca="false">IF('0_Control'!$B$5=2,IF(O$4&gt;='1_Assumptions'!$D$42,IF(O$4&lt;=18,'1_Assumptions'!$D$43,IF(O$4&lt;=30,'1_Assumptions'!$D$44,'1_Assumptions'!$D$45)),0),0)</f>
        <v>30</v>
      </c>
      <c r="P22" s="9" t="n">
        <f aca="false">IF('0_Control'!$B$5=2,IF(P$4&gt;='1_Assumptions'!$D$42,IF(P$4&lt;=18,'1_Assumptions'!$D$43,IF(P$4&lt;=30,'1_Assumptions'!$D$44,'1_Assumptions'!$D$45)),0),0)</f>
        <v>30</v>
      </c>
      <c r="Q22" s="9" t="n">
        <f aca="false">IF('0_Control'!$B$5=2,IF(Q$4&gt;='1_Assumptions'!$D$42,IF(Q$4&lt;=18,'1_Assumptions'!$D$43,IF(Q$4&lt;=30,'1_Assumptions'!$D$44,'1_Assumptions'!$D$45)),0),0)</f>
        <v>30</v>
      </c>
      <c r="R22" s="9" t="n">
        <f aca="false">IF('0_Control'!$B$5=2,IF(R$4&gt;='1_Assumptions'!$D$42,IF(R$4&lt;=18,'1_Assumptions'!$D$43,IF(R$4&lt;=30,'1_Assumptions'!$D$44,'1_Assumptions'!$D$45)),0),0)</f>
        <v>30</v>
      </c>
      <c r="S22" s="9" t="n">
        <f aca="false">IF('0_Control'!$B$5=2,IF(S$4&gt;='1_Assumptions'!$D$42,IF(S$4&lt;=18,'1_Assumptions'!$D$43,IF(S$4&lt;=30,'1_Assumptions'!$D$44,'1_Assumptions'!$D$45)),0),0)</f>
        <v>30</v>
      </c>
      <c r="T22" s="9" t="n">
        <f aca="false">IF('0_Control'!$B$5=2,IF(T$4&gt;='1_Assumptions'!$D$42,IF(T$4&lt;=18,'1_Assumptions'!$D$43,IF(T$4&lt;=30,'1_Assumptions'!$D$44,'1_Assumptions'!$D$45)),0),0)</f>
        <v>30</v>
      </c>
      <c r="U22" s="9" t="n">
        <f aca="false">IF('0_Control'!$B$5=2,IF(U$4&gt;='1_Assumptions'!$D$42,IF(U$4&lt;=18,'1_Assumptions'!$D$43,IF(U$4&lt;=30,'1_Assumptions'!$D$44,'1_Assumptions'!$D$45)),0),0)</f>
        <v>60</v>
      </c>
      <c r="V22" s="9" t="n">
        <f aca="false">IF('0_Control'!$B$5=2,IF(V$4&gt;='1_Assumptions'!$D$42,IF(V$4&lt;=18,'1_Assumptions'!$D$43,IF(V$4&lt;=30,'1_Assumptions'!$D$44,'1_Assumptions'!$D$45)),0),0)</f>
        <v>60</v>
      </c>
      <c r="W22" s="9" t="n">
        <f aca="false">IF('0_Control'!$B$5=2,IF(W$4&gt;='1_Assumptions'!$D$42,IF(W$4&lt;=18,'1_Assumptions'!$D$43,IF(W$4&lt;=30,'1_Assumptions'!$D$44,'1_Assumptions'!$D$45)),0),0)</f>
        <v>60</v>
      </c>
      <c r="X22" s="9" t="n">
        <f aca="false">IF('0_Control'!$B$5=2,IF(X$4&gt;='1_Assumptions'!$D$42,IF(X$4&lt;=18,'1_Assumptions'!$D$43,IF(X$4&lt;=30,'1_Assumptions'!$D$44,'1_Assumptions'!$D$45)),0),0)</f>
        <v>60</v>
      </c>
      <c r="Y22" s="9" t="n">
        <f aca="false">IF('0_Control'!$B$5=2,IF(Y$4&gt;='1_Assumptions'!$D$42,IF(Y$4&lt;=18,'1_Assumptions'!$D$43,IF(Y$4&lt;=30,'1_Assumptions'!$D$44,'1_Assumptions'!$D$45)),0),0)</f>
        <v>60</v>
      </c>
      <c r="Z22" s="9" t="n">
        <f aca="false">IF('0_Control'!$B$5=2,IF(Z$4&gt;='1_Assumptions'!$D$42,IF(Z$4&lt;=18,'1_Assumptions'!$D$43,IF(Z$4&lt;=30,'1_Assumptions'!$D$44,'1_Assumptions'!$D$45)),0),0)</f>
        <v>60</v>
      </c>
      <c r="AA22" s="9" t="n">
        <f aca="false">IF('0_Control'!$B$5=2,IF(AA$4&gt;='1_Assumptions'!$D$42,IF(AA$4&lt;=18,'1_Assumptions'!$D$43,IF(AA$4&lt;=30,'1_Assumptions'!$D$44,'1_Assumptions'!$D$45)),0),0)</f>
        <v>60</v>
      </c>
      <c r="AB22" s="9" t="n">
        <f aca="false">IF('0_Control'!$B$5=2,IF(AB$4&gt;='1_Assumptions'!$D$42,IF(AB$4&lt;=18,'1_Assumptions'!$D$43,IF(AB$4&lt;=30,'1_Assumptions'!$D$44,'1_Assumptions'!$D$45)),0),0)</f>
        <v>60</v>
      </c>
      <c r="AC22" s="9" t="n">
        <f aca="false">IF('0_Control'!$B$5=2,IF(AC$4&gt;='1_Assumptions'!$D$42,IF(AC$4&lt;=18,'1_Assumptions'!$D$43,IF(AC$4&lt;=30,'1_Assumptions'!$D$44,'1_Assumptions'!$D$45)),0),0)</f>
        <v>60</v>
      </c>
      <c r="AD22" s="9" t="n">
        <f aca="false">IF('0_Control'!$B$5=2,IF(AD$4&gt;='1_Assumptions'!$D$42,IF(AD$4&lt;=18,'1_Assumptions'!$D$43,IF(AD$4&lt;=30,'1_Assumptions'!$D$44,'1_Assumptions'!$D$45)),0),0)</f>
        <v>60</v>
      </c>
      <c r="AE22" s="9" t="n">
        <f aca="false">IF('0_Control'!$B$5=2,IF(AE$4&gt;='1_Assumptions'!$D$42,IF(AE$4&lt;=18,'1_Assumptions'!$D$43,IF(AE$4&lt;=30,'1_Assumptions'!$D$44,'1_Assumptions'!$D$45)),0),0)</f>
        <v>60</v>
      </c>
      <c r="AF22" s="9" t="n">
        <f aca="false">IF('0_Control'!$B$5=2,IF(AF$4&gt;='1_Assumptions'!$D$42,IF(AF$4&lt;=18,'1_Assumptions'!$D$43,IF(AF$4&lt;=30,'1_Assumptions'!$D$44,'1_Assumptions'!$D$45)),0),0)</f>
        <v>60</v>
      </c>
      <c r="AG22" s="9" t="n">
        <f aca="false">IF('0_Control'!$B$5=2,IF(AG$4&gt;='1_Assumptions'!$D$42,IF(AG$4&lt;=18,'1_Assumptions'!$D$43,IF(AG$4&lt;=30,'1_Assumptions'!$D$44,'1_Assumptions'!$D$45)),0),0)</f>
        <v>100</v>
      </c>
      <c r="AH22" s="9" t="n">
        <f aca="false">IF('0_Control'!$B$5=2,IF(AH$4&gt;='1_Assumptions'!$D$42,IF(AH$4&lt;=18,'1_Assumptions'!$D$43,IF(AH$4&lt;=30,'1_Assumptions'!$D$44,'1_Assumptions'!$D$45)),0),0)</f>
        <v>100</v>
      </c>
      <c r="AI22" s="9" t="n">
        <f aca="false">IF('0_Control'!$B$5=2,IF(AI$4&gt;='1_Assumptions'!$D$42,IF(AI$4&lt;=18,'1_Assumptions'!$D$43,IF(AI$4&lt;=30,'1_Assumptions'!$D$44,'1_Assumptions'!$D$45)),0),0)</f>
        <v>100</v>
      </c>
      <c r="AJ22" s="9" t="n">
        <f aca="false">IF('0_Control'!$B$5=2,IF(AJ$4&gt;='1_Assumptions'!$D$42,IF(AJ$4&lt;=18,'1_Assumptions'!$D$43,IF(AJ$4&lt;=30,'1_Assumptions'!$D$44,'1_Assumptions'!$D$45)),0),0)</f>
        <v>100</v>
      </c>
      <c r="AK22" s="9" t="n">
        <f aca="false">IF('0_Control'!$B$5=2,IF(AK$4&gt;='1_Assumptions'!$D$42,IF(AK$4&lt;=18,'1_Assumptions'!$D$43,IF(AK$4&lt;=30,'1_Assumptions'!$D$44,'1_Assumptions'!$D$45)),0),0)</f>
        <v>100</v>
      </c>
      <c r="AL22" s="9" t="n">
        <f aca="false">IF('0_Control'!$B$5=2,IF(AL$4&gt;='1_Assumptions'!$D$42,IF(AL$4&lt;=18,'1_Assumptions'!$D$43,IF(AL$4&lt;=30,'1_Assumptions'!$D$44,'1_Assumptions'!$D$45)),0),0)</f>
        <v>100</v>
      </c>
    </row>
    <row r="23" customFormat="false" ht="15" hidden="false" customHeight="false" outlineLevel="0" collapsed="false">
      <c r="B23" s="4" t="s">
        <v>258</v>
      </c>
      <c r="C23" s="14" t="n">
        <f aca="false">C22*1000*'1_Assumptions'!$D$46</f>
        <v>0</v>
      </c>
      <c r="D23" s="14" t="n">
        <f aca="false">D22*1000*'1_Assumptions'!$D$46</f>
        <v>0</v>
      </c>
      <c r="E23" s="14" t="n">
        <f aca="false">E22*1000*'1_Assumptions'!$D$46</f>
        <v>0</v>
      </c>
      <c r="F23" s="14" t="n">
        <f aca="false">F22*1000*'1_Assumptions'!$D$46</f>
        <v>0</v>
      </c>
      <c r="G23" s="14" t="n">
        <f aca="false">G22*1000*'1_Assumptions'!$D$46</f>
        <v>0</v>
      </c>
      <c r="H23" s="14" t="n">
        <f aca="false">H22*1000*'1_Assumptions'!$D$46</f>
        <v>0</v>
      </c>
      <c r="I23" s="14" t="n">
        <f aca="false">I22*1000*'1_Assumptions'!$D$46</f>
        <v>0</v>
      </c>
      <c r="J23" s="14" t="n">
        <f aca="false">J22*1000*'1_Assumptions'!$D$46</f>
        <v>0</v>
      </c>
      <c r="K23" s="14" t="n">
        <f aca="false">K22*1000*'1_Assumptions'!$D$46</f>
        <v>0</v>
      </c>
      <c r="L23" s="14" t="n">
        <f aca="false">L22*1000*'1_Assumptions'!$D$46</f>
        <v>0</v>
      </c>
      <c r="M23" s="14" t="n">
        <f aca="false">M22*1000*'1_Assumptions'!$D$46</f>
        <v>0</v>
      </c>
      <c r="N23" s="14" t="n">
        <f aca="false">N22*1000*'1_Assumptions'!$D$46</f>
        <v>0</v>
      </c>
      <c r="O23" s="14" t="n">
        <f aca="false">O22*1000*'1_Assumptions'!$D$46</f>
        <v>315000</v>
      </c>
      <c r="P23" s="14" t="n">
        <f aca="false">P22*1000*'1_Assumptions'!$D$46</f>
        <v>315000</v>
      </c>
      <c r="Q23" s="14" t="n">
        <f aca="false">Q22*1000*'1_Assumptions'!$D$46</f>
        <v>315000</v>
      </c>
      <c r="R23" s="14" t="n">
        <f aca="false">R22*1000*'1_Assumptions'!$D$46</f>
        <v>315000</v>
      </c>
      <c r="S23" s="14" t="n">
        <f aca="false">S22*1000*'1_Assumptions'!$D$46</f>
        <v>315000</v>
      </c>
      <c r="T23" s="14" t="n">
        <f aca="false">T22*1000*'1_Assumptions'!$D$46</f>
        <v>315000</v>
      </c>
      <c r="U23" s="14" t="n">
        <f aca="false">U22*1000*'1_Assumptions'!$D$46</f>
        <v>630000</v>
      </c>
      <c r="V23" s="14" t="n">
        <f aca="false">V22*1000*'1_Assumptions'!$D$46</f>
        <v>630000</v>
      </c>
      <c r="W23" s="14" t="n">
        <f aca="false">W22*1000*'1_Assumptions'!$D$46</f>
        <v>630000</v>
      </c>
      <c r="X23" s="14" t="n">
        <f aca="false">X22*1000*'1_Assumptions'!$D$46</f>
        <v>630000</v>
      </c>
      <c r="Y23" s="14" t="n">
        <f aca="false">Y22*1000*'1_Assumptions'!$D$46</f>
        <v>630000</v>
      </c>
      <c r="Z23" s="14" t="n">
        <f aca="false">Z22*1000*'1_Assumptions'!$D$46</f>
        <v>630000</v>
      </c>
      <c r="AA23" s="14" t="n">
        <f aca="false">AA22*1000*'1_Assumptions'!$D$46</f>
        <v>630000</v>
      </c>
      <c r="AB23" s="14" t="n">
        <f aca="false">AB22*1000*'1_Assumptions'!$D$46</f>
        <v>630000</v>
      </c>
      <c r="AC23" s="14" t="n">
        <f aca="false">AC22*1000*'1_Assumptions'!$D$46</f>
        <v>630000</v>
      </c>
      <c r="AD23" s="14" t="n">
        <f aca="false">AD22*1000*'1_Assumptions'!$D$46</f>
        <v>630000</v>
      </c>
      <c r="AE23" s="14" t="n">
        <f aca="false">AE22*1000*'1_Assumptions'!$D$46</f>
        <v>630000</v>
      </c>
      <c r="AF23" s="14" t="n">
        <f aca="false">AF22*1000*'1_Assumptions'!$D$46</f>
        <v>630000</v>
      </c>
      <c r="AG23" s="14" t="n">
        <f aca="false">AG22*1000*'1_Assumptions'!$D$46</f>
        <v>1050000</v>
      </c>
      <c r="AH23" s="14" t="n">
        <f aca="false">AH22*1000*'1_Assumptions'!$D$46</f>
        <v>1050000</v>
      </c>
      <c r="AI23" s="14" t="n">
        <f aca="false">AI22*1000*'1_Assumptions'!$D$46</f>
        <v>1050000</v>
      </c>
      <c r="AJ23" s="14" t="n">
        <f aca="false">AJ22*1000*'1_Assumptions'!$D$46</f>
        <v>1050000</v>
      </c>
      <c r="AK23" s="14" t="n">
        <f aca="false">AK22*1000*'1_Assumptions'!$D$46</f>
        <v>1050000</v>
      </c>
      <c r="AL23" s="14" t="n">
        <f aca="false">AL22*1000*'1_Assumptions'!$D$46</f>
        <v>1050000</v>
      </c>
    </row>
    <row r="25" customFormat="false" ht="15" hidden="false" customHeight="false" outlineLevel="0" collapsed="false">
      <c r="B25" s="19" t="s">
        <v>259</v>
      </c>
      <c r="C25" s="20" t="n">
        <f aca="false">C19+C23</f>
        <v>0</v>
      </c>
      <c r="D25" s="20" t="n">
        <f aca="false">D19+D23</f>
        <v>0</v>
      </c>
      <c r="E25" s="20" t="n">
        <f aca="false">E19+E23</f>
        <v>0</v>
      </c>
      <c r="F25" s="20" t="n">
        <f aca="false">F19+F23</f>
        <v>0</v>
      </c>
      <c r="G25" s="20" t="n">
        <f aca="false">G19+G23</f>
        <v>0</v>
      </c>
      <c r="H25" s="20" t="n">
        <f aca="false">H19+H23</f>
        <v>0</v>
      </c>
      <c r="I25" s="20" t="n">
        <f aca="false">I19+I23</f>
        <v>24167</v>
      </c>
      <c r="J25" s="20" t="n">
        <f aca="false">J19+J23</f>
        <v>24167</v>
      </c>
      <c r="K25" s="20" t="n">
        <f aca="false">K19+K23</f>
        <v>24167</v>
      </c>
      <c r="L25" s="20" t="n">
        <f aca="false">L19+L23</f>
        <v>24167</v>
      </c>
      <c r="M25" s="20" t="n">
        <f aca="false">M19+M23</f>
        <v>1558290.0373397</v>
      </c>
      <c r="N25" s="20" t="n">
        <f aca="false">N19+N23</f>
        <v>1558290.0373397</v>
      </c>
      <c r="O25" s="20" t="n">
        <f aca="false">O19+O23</f>
        <v>1873290.0373397</v>
      </c>
      <c r="P25" s="20" t="n">
        <f aca="false">P19+P23</f>
        <v>1873290.0373397</v>
      </c>
      <c r="Q25" s="20" t="n">
        <f aca="false">Q19+Q23</f>
        <v>1873290.0373397</v>
      </c>
      <c r="R25" s="20" t="n">
        <f aca="false">R19+R23</f>
        <v>1873290.0373397</v>
      </c>
      <c r="S25" s="20" t="n">
        <f aca="false">S19+S23</f>
        <v>1873290.0373397</v>
      </c>
      <c r="T25" s="20" t="n">
        <f aca="false">T19+T23</f>
        <v>1873290.0373397</v>
      </c>
      <c r="U25" s="20" t="n">
        <f aca="false">U19+U23</f>
        <v>654167</v>
      </c>
      <c r="V25" s="20" t="n">
        <f aca="false">V19+V23</f>
        <v>654167</v>
      </c>
      <c r="W25" s="20" t="n">
        <f aca="false">W19+W23</f>
        <v>654167</v>
      </c>
      <c r="X25" s="20" t="n">
        <f aca="false">X19+X23</f>
        <v>654167</v>
      </c>
      <c r="Y25" s="20" t="n">
        <f aca="false">Y19+Y23</f>
        <v>2571820.79667463</v>
      </c>
      <c r="Z25" s="20" t="n">
        <f aca="false">Z19+Z23</f>
        <v>2571820.79667463</v>
      </c>
      <c r="AA25" s="20" t="n">
        <f aca="false">AA19+AA23</f>
        <v>2571820.79667463</v>
      </c>
      <c r="AB25" s="20" t="n">
        <f aca="false">AB19+AB23</f>
        <v>2571820.79667463</v>
      </c>
      <c r="AC25" s="20" t="n">
        <f aca="false">AC19+AC23</f>
        <v>2571820.79667463</v>
      </c>
      <c r="AD25" s="20" t="n">
        <f aca="false">AD19+AD23</f>
        <v>2571820.79667463</v>
      </c>
      <c r="AE25" s="20" t="n">
        <f aca="false">AE19+AE23</f>
        <v>2571820.79667463</v>
      </c>
      <c r="AF25" s="20" t="n">
        <f aca="false">AF19+AF23</f>
        <v>2571820.79667463</v>
      </c>
      <c r="AG25" s="20" t="n">
        <f aca="false">AG19+AG23</f>
        <v>1074167</v>
      </c>
      <c r="AH25" s="20" t="n">
        <f aca="false">AH19+AH23</f>
        <v>1074167</v>
      </c>
      <c r="AI25" s="20" t="n">
        <f aca="false">AI19+AI23</f>
        <v>1074167</v>
      </c>
      <c r="AJ25" s="20" t="n">
        <f aca="false">AJ19+AJ23</f>
        <v>1074167</v>
      </c>
      <c r="AK25" s="20" t="n">
        <f aca="false">AK19+AK23</f>
        <v>3375351.55600955</v>
      </c>
      <c r="AL25" s="20" t="n">
        <f aca="false">AL19+AL23</f>
        <v>3375351.55600955</v>
      </c>
    </row>
    <row r="27" customFormat="false" ht="15" hidden="false" customHeight="false" outlineLevel="0" collapsed="false">
      <c r="B27" s="16" t="s">
        <v>260</v>
      </c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</row>
    <row r="28" customFormat="false" ht="15" hidden="false" customHeight="false" outlineLevel="0" collapsed="false">
      <c r="B28" s="4" t="s">
        <v>261</v>
      </c>
      <c r="C28" s="14" t="n">
        <f aca="false">(IF(AND(C$4&gt;='1_Assumptions'!$D$40,C$4&lt;'1_Assumptions'!$D$40+'1_Assumptions'!$D$41),1,0)*1+IF(AND(C$4&gt;='1_Assumptions'!$D$40+12,C$4&lt;'1_Assumptions'!$D$40+12+'1_Assumptions'!$D$41),1,0)*'1_Assumptions'!$D$10+IF(AND(C$4&gt;='1_Assumptions'!$D$40+24,C$4&lt;'1_Assumptions'!$D$40+24+'1_Assumptions'!$D$41),1,0)*'1_Assumptions'!$D$11)*'1_Assumptions'!$D$49/'1_Assumptions'!$D$41</f>
        <v>0</v>
      </c>
      <c r="D28" s="14" t="n">
        <f aca="false">(IF(AND(D$4&gt;='1_Assumptions'!$D$40,D$4&lt;'1_Assumptions'!$D$40+'1_Assumptions'!$D$41),1,0)*1+IF(AND(D$4&gt;='1_Assumptions'!$D$40+12,D$4&lt;'1_Assumptions'!$D$40+12+'1_Assumptions'!$D$41),1,0)*'1_Assumptions'!$D$10+IF(AND(D$4&gt;='1_Assumptions'!$D$40+24,D$4&lt;'1_Assumptions'!$D$40+24+'1_Assumptions'!$D$41),1,0)*'1_Assumptions'!$D$11)*'1_Assumptions'!$D$49/'1_Assumptions'!$D$41</f>
        <v>0</v>
      </c>
      <c r="E28" s="14" t="n">
        <f aca="false">(IF(AND(E$4&gt;='1_Assumptions'!$D$40,E$4&lt;'1_Assumptions'!$D$40+'1_Assumptions'!$D$41),1,0)*1+IF(AND(E$4&gt;='1_Assumptions'!$D$40+12,E$4&lt;'1_Assumptions'!$D$40+12+'1_Assumptions'!$D$41),1,0)*'1_Assumptions'!$D$10+IF(AND(E$4&gt;='1_Assumptions'!$D$40+24,E$4&lt;'1_Assumptions'!$D$40+24+'1_Assumptions'!$D$41),1,0)*'1_Assumptions'!$D$11)*'1_Assumptions'!$D$49/'1_Assumptions'!$D$41</f>
        <v>60000</v>
      </c>
      <c r="F28" s="14" t="n">
        <f aca="false">(IF(AND(F$4&gt;='1_Assumptions'!$D$40,F$4&lt;'1_Assumptions'!$D$40+'1_Assumptions'!$D$41),1,0)*1+IF(AND(F$4&gt;='1_Assumptions'!$D$40+12,F$4&lt;'1_Assumptions'!$D$40+12+'1_Assumptions'!$D$41),1,0)*'1_Assumptions'!$D$10+IF(AND(F$4&gt;='1_Assumptions'!$D$40+24,F$4&lt;'1_Assumptions'!$D$40+24+'1_Assumptions'!$D$41),1,0)*'1_Assumptions'!$D$11)*'1_Assumptions'!$D$49/'1_Assumptions'!$D$41</f>
        <v>60000</v>
      </c>
      <c r="G28" s="14" t="n">
        <f aca="false">(IF(AND(G$4&gt;='1_Assumptions'!$D$40,G$4&lt;'1_Assumptions'!$D$40+'1_Assumptions'!$D$41),1,0)*1+IF(AND(G$4&gt;='1_Assumptions'!$D$40+12,G$4&lt;'1_Assumptions'!$D$40+12+'1_Assumptions'!$D$41),1,0)*'1_Assumptions'!$D$10+IF(AND(G$4&gt;='1_Assumptions'!$D$40+24,G$4&lt;'1_Assumptions'!$D$40+24+'1_Assumptions'!$D$41),1,0)*'1_Assumptions'!$D$11)*'1_Assumptions'!$D$49/'1_Assumptions'!$D$41</f>
        <v>60000</v>
      </c>
      <c r="H28" s="14" t="n">
        <f aca="false">(IF(AND(H$4&gt;='1_Assumptions'!$D$40,H$4&lt;'1_Assumptions'!$D$40+'1_Assumptions'!$D$41),1,0)*1+IF(AND(H$4&gt;='1_Assumptions'!$D$40+12,H$4&lt;'1_Assumptions'!$D$40+12+'1_Assumptions'!$D$41),1,0)*'1_Assumptions'!$D$10+IF(AND(H$4&gt;='1_Assumptions'!$D$40+24,H$4&lt;'1_Assumptions'!$D$40+24+'1_Assumptions'!$D$41),1,0)*'1_Assumptions'!$D$11)*'1_Assumptions'!$D$49/'1_Assumptions'!$D$41</f>
        <v>60000</v>
      </c>
      <c r="I28" s="14" t="n">
        <f aca="false">(IF(AND(I$4&gt;='1_Assumptions'!$D$40,I$4&lt;'1_Assumptions'!$D$40+'1_Assumptions'!$D$41),1,0)*1+IF(AND(I$4&gt;='1_Assumptions'!$D$40+12,I$4&lt;'1_Assumptions'!$D$40+12+'1_Assumptions'!$D$41),1,0)*'1_Assumptions'!$D$10+IF(AND(I$4&gt;='1_Assumptions'!$D$40+24,I$4&lt;'1_Assumptions'!$D$40+24+'1_Assumptions'!$D$41),1,0)*'1_Assumptions'!$D$11)*'1_Assumptions'!$D$49/'1_Assumptions'!$D$41</f>
        <v>60000</v>
      </c>
      <c r="J28" s="14" t="n">
        <f aca="false">(IF(AND(J$4&gt;='1_Assumptions'!$D$40,J$4&lt;'1_Assumptions'!$D$40+'1_Assumptions'!$D$41),1,0)*1+IF(AND(J$4&gt;='1_Assumptions'!$D$40+12,J$4&lt;'1_Assumptions'!$D$40+12+'1_Assumptions'!$D$41),1,0)*'1_Assumptions'!$D$10+IF(AND(J$4&gt;='1_Assumptions'!$D$40+24,J$4&lt;'1_Assumptions'!$D$40+24+'1_Assumptions'!$D$41),1,0)*'1_Assumptions'!$D$11)*'1_Assumptions'!$D$49/'1_Assumptions'!$D$41</f>
        <v>60000</v>
      </c>
      <c r="K28" s="14" t="n">
        <f aca="false">(IF(AND(K$4&gt;='1_Assumptions'!$D$40,K$4&lt;'1_Assumptions'!$D$40+'1_Assumptions'!$D$41),1,0)*1+IF(AND(K$4&gt;='1_Assumptions'!$D$40+12,K$4&lt;'1_Assumptions'!$D$40+12+'1_Assumptions'!$D$41),1,0)*'1_Assumptions'!$D$10+IF(AND(K$4&gt;='1_Assumptions'!$D$40+24,K$4&lt;'1_Assumptions'!$D$40+24+'1_Assumptions'!$D$41),1,0)*'1_Assumptions'!$D$11)*'1_Assumptions'!$D$49/'1_Assumptions'!$D$41</f>
        <v>60000</v>
      </c>
      <c r="L28" s="14" t="n">
        <f aca="false">(IF(AND(L$4&gt;='1_Assumptions'!$D$40,L$4&lt;'1_Assumptions'!$D$40+'1_Assumptions'!$D$41),1,0)*1+IF(AND(L$4&gt;='1_Assumptions'!$D$40+12,L$4&lt;'1_Assumptions'!$D$40+12+'1_Assumptions'!$D$41),1,0)*'1_Assumptions'!$D$10+IF(AND(L$4&gt;='1_Assumptions'!$D$40+24,L$4&lt;'1_Assumptions'!$D$40+24+'1_Assumptions'!$D$41),1,0)*'1_Assumptions'!$D$11)*'1_Assumptions'!$D$49/'1_Assumptions'!$D$41</f>
        <v>60000</v>
      </c>
      <c r="M28" s="14" t="n">
        <f aca="false">(IF(AND(M$4&gt;='1_Assumptions'!$D$40,M$4&lt;'1_Assumptions'!$D$40+'1_Assumptions'!$D$41),1,0)*1+IF(AND(M$4&gt;='1_Assumptions'!$D$40+12,M$4&lt;'1_Assumptions'!$D$40+12+'1_Assumptions'!$D$41),1,0)*'1_Assumptions'!$D$10+IF(AND(M$4&gt;='1_Assumptions'!$D$40+24,M$4&lt;'1_Assumptions'!$D$40+24+'1_Assumptions'!$D$41),1,0)*'1_Assumptions'!$D$11)*'1_Assumptions'!$D$49/'1_Assumptions'!$D$41</f>
        <v>0</v>
      </c>
      <c r="N28" s="14" t="n">
        <f aca="false">(IF(AND(N$4&gt;='1_Assumptions'!$D$40,N$4&lt;'1_Assumptions'!$D$40+'1_Assumptions'!$D$41),1,0)*1+IF(AND(N$4&gt;='1_Assumptions'!$D$40+12,N$4&lt;'1_Assumptions'!$D$40+12+'1_Assumptions'!$D$41),1,0)*'1_Assumptions'!$D$10+IF(AND(N$4&gt;='1_Assumptions'!$D$40+24,N$4&lt;'1_Assumptions'!$D$40+24+'1_Assumptions'!$D$41),1,0)*'1_Assumptions'!$D$11)*'1_Assumptions'!$D$49/'1_Assumptions'!$D$41</f>
        <v>0</v>
      </c>
      <c r="O28" s="14" t="n">
        <f aca="false">(IF(AND(O$4&gt;='1_Assumptions'!$D$40,O$4&lt;'1_Assumptions'!$D$40+'1_Assumptions'!$D$41),1,0)*1+IF(AND(O$4&gt;='1_Assumptions'!$D$40+12,O$4&lt;'1_Assumptions'!$D$40+12+'1_Assumptions'!$D$41),1,0)*'1_Assumptions'!$D$10+IF(AND(O$4&gt;='1_Assumptions'!$D$40+24,O$4&lt;'1_Assumptions'!$D$40+24+'1_Assumptions'!$D$41),1,0)*'1_Assumptions'!$D$11)*'1_Assumptions'!$D$49/'1_Assumptions'!$D$41</f>
        <v>0</v>
      </c>
      <c r="P28" s="14" t="n">
        <f aca="false">(IF(AND(P$4&gt;='1_Assumptions'!$D$40,P$4&lt;'1_Assumptions'!$D$40+'1_Assumptions'!$D$41),1,0)*1+IF(AND(P$4&gt;='1_Assumptions'!$D$40+12,P$4&lt;'1_Assumptions'!$D$40+12+'1_Assumptions'!$D$41),1,0)*'1_Assumptions'!$D$10+IF(AND(P$4&gt;='1_Assumptions'!$D$40+24,P$4&lt;'1_Assumptions'!$D$40+24+'1_Assumptions'!$D$41),1,0)*'1_Assumptions'!$D$11)*'1_Assumptions'!$D$49/'1_Assumptions'!$D$41</f>
        <v>0</v>
      </c>
      <c r="Q28" s="14" t="n">
        <f aca="false">(IF(AND(Q$4&gt;='1_Assumptions'!$D$40,Q$4&lt;'1_Assumptions'!$D$40+'1_Assumptions'!$D$41),1,0)*1+IF(AND(Q$4&gt;='1_Assumptions'!$D$40+12,Q$4&lt;'1_Assumptions'!$D$40+12+'1_Assumptions'!$D$41),1,0)*'1_Assumptions'!$D$10+IF(AND(Q$4&gt;='1_Assumptions'!$D$40+24,Q$4&lt;'1_Assumptions'!$D$40+24+'1_Assumptions'!$D$41),1,0)*'1_Assumptions'!$D$11)*'1_Assumptions'!$D$49/'1_Assumptions'!$D$41</f>
        <v>75000</v>
      </c>
      <c r="R28" s="14" t="n">
        <f aca="false">(IF(AND(R$4&gt;='1_Assumptions'!$D$40,R$4&lt;'1_Assumptions'!$D$40+'1_Assumptions'!$D$41),1,0)*1+IF(AND(R$4&gt;='1_Assumptions'!$D$40+12,R$4&lt;'1_Assumptions'!$D$40+12+'1_Assumptions'!$D$41),1,0)*'1_Assumptions'!$D$10+IF(AND(R$4&gt;='1_Assumptions'!$D$40+24,R$4&lt;'1_Assumptions'!$D$40+24+'1_Assumptions'!$D$41),1,0)*'1_Assumptions'!$D$11)*'1_Assumptions'!$D$49/'1_Assumptions'!$D$41</f>
        <v>75000</v>
      </c>
      <c r="S28" s="14" t="n">
        <f aca="false">(IF(AND(S$4&gt;='1_Assumptions'!$D$40,S$4&lt;'1_Assumptions'!$D$40+'1_Assumptions'!$D$41),1,0)*1+IF(AND(S$4&gt;='1_Assumptions'!$D$40+12,S$4&lt;'1_Assumptions'!$D$40+12+'1_Assumptions'!$D$41),1,0)*'1_Assumptions'!$D$10+IF(AND(S$4&gt;='1_Assumptions'!$D$40+24,S$4&lt;'1_Assumptions'!$D$40+24+'1_Assumptions'!$D$41),1,0)*'1_Assumptions'!$D$11)*'1_Assumptions'!$D$49/'1_Assumptions'!$D$41</f>
        <v>75000</v>
      </c>
      <c r="T28" s="14" t="n">
        <f aca="false">(IF(AND(T$4&gt;='1_Assumptions'!$D$40,T$4&lt;'1_Assumptions'!$D$40+'1_Assumptions'!$D$41),1,0)*1+IF(AND(T$4&gt;='1_Assumptions'!$D$40+12,T$4&lt;'1_Assumptions'!$D$40+12+'1_Assumptions'!$D$41),1,0)*'1_Assumptions'!$D$10+IF(AND(T$4&gt;='1_Assumptions'!$D$40+24,T$4&lt;'1_Assumptions'!$D$40+24+'1_Assumptions'!$D$41),1,0)*'1_Assumptions'!$D$11)*'1_Assumptions'!$D$49/'1_Assumptions'!$D$41</f>
        <v>75000</v>
      </c>
      <c r="U28" s="14" t="n">
        <f aca="false">(IF(AND(U$4&gt;='1_Assumptions'!$D$40,U$4&lt;'1_Assumptions'!$D$40+'1_Assumptions'!$D$41),1,0)*1+IF(AND(U$4&gt;='1_Assumptions'!$D$40+12,U$4&lt;'1_Assumptions'!$D$40+12+'1_Assumptions'!$D$41),1,0)*'1_Assumptions'!$D$10+IF(AND(U$4&gt;='1_Assumptions'!$D$40+24,U$4&lt;'1_Assumptions'!$D$40+24+'1_Assumptions'!$D$41),1,0)*'1_Assumptions'!$D$11)*'1_Assumptions'!$D$49/'1_Assumptions'!$D$41</f>
        <v>75000</v>
      </c>
      <c r="V28" s="14" t="n">
        <f aca="false">(IF(AND(V$4&gt;='1_Assumptions'!$D$40,V$4&lt;'1_Assumptions'!$D$40+'1_Assumptions'!$D$41),1,0)*1+IF(AND(V$4&gt;='1_Assumptions'!$D$40+12,V$4&lt;'1_Assumptions'!$D$40+12+'1_Assumptions'!$D$41),1,0)*'1_Assumptions'!$D$10+IF(AND(V$4&gt;='1_Assumptions'!$D$40+24,V$4&lt;'1_Assumptions'!$D$40+24+'1_Assumptions'!$D$41),1,0)*'1_Assumptions'!$D$11)*'1_Assumptions'!$D$49/'1_Assumptions'!$D$41</f>
        <v>75000</v>
      </c>
      <c r="W28" s="14" t="n">
        <f aca="false">(IF(AND(W$4&gt;='1_Assumptions'!$D$40,W$4&lt;'1_Assumptions'!$D$40+'1_Assumptions'!$D$41),1,0)*1+IF(AND(W$4&gt;='1_Assumptions'!$D$40+12,W$4&lt;'1_Assumptions'!$D$40+12+'1_Assumptions'!$D$41),1,0)*'1_Assumptions'!$D$10+IF(AND(W$4&gt;='1_Assumptions'!$D$40+24,W$4&lt;'1_Assumptions'!$D$40+24+'1_Assumptions'!$D$41),1,0)*'1_Assumptions'!$D$11)*'1_Assumptions'!$D$49/'1_Assumptions'!$D$41</f>
        <v>75000</v>
      </c>
      <c r="X28" s="14" t="n">
        <f aca="false">(IF(AND(X$4&gt;='1_Assumptions'!$D$40,X$4&lt;'1_Assumptions'!$D$40+'1_Assumptions'!$D$41),1,0)*1+IF(AND(X$4&gt;='1_Assumptions'!$D$40+12,X$4&lt;'1_Assumptions'!$D$40+12+'1_Assumptions'!$D$41),1,0)*'1_Assumptions'!$D$10+IF(AND(X$4&gt;='1_Assumptions'!$D$40+24,X$4&lt;'1_Assumptions'!$D$40+24+'1_Assumptions'!$D$41),1,0)*'1_Assumptions'!$D$11)*'1_Assumptions'!$D$49/'1_Assumptions'!$D$41</f>
        <v>75000</v>
      </c>
      <c r="Y28" s="14" t="n">
        <f aca="false">(IF(AND(Y$4&gt;='1_Assumptions'!$D$40,Y$4&lt;'1_Assumptions'!$D$40+'1_Assumptions'!$D$41),1,0)*1+IF(AND(Y$4&gt;='1_Assumptions'!$D$40+12,Y$4&lt;'1_Assumptions'!$D$40+12+'1_Assumptions'!$D$41),1,0)*'1_Assumptions'!$D$10+IF(AND(Y$4&gt;='1_Assumptions'!$D$40+24,Y$4&lt;'1_Assumptions'!$D$40+24+'1_Assumptions'!$D$41),1,0)*'1_Assumptions'!$D$11)*'1_Assumptions'!$D$49/'1_Assumptions'!$D$41</f>
        <v>0</v>
      </c>
      <c r="Z28" s="14" t="n">
        <f aca="false">(IF(AND(Z$4&gt;='1_Assumptions'!$D$40,Z$4&lt;'1_Assumptions'!$D$40+'1_Assumptions'!$D$41),1,0)*1+IF(AND(Z$4&gt;='1_Assumptions'!$D$40+12,Z$4&lt;'1_Assumptions'!$D$40+12+'1_Assumptions'!$D$41),1,0)*'1_Assumptions'!$D$10+IF(AND(Z$4&gt;='1_Assumptions'!$D$40+24,Z$4&lt;'1_Assumptions'!$D$40+24+'1_Assumptions'!$D$41),1,0)*'1_Assumptions'!$D$11)*'1_Assumptions'!$D$49/'1_Assumptions'!$D$41</f>
        <v>0</v>
      </c>
      <c r="AA28" s="14" t="n">
        <f aca="false">(IF(AND(AA$4&gt;='1_Assumptions'!$D$40,AA$4&lt;'1_Assumptions'!$D$40+'1_Assumptions'!$D$41),1,0)*1+IF(AND(AA$4&gt;='1_Assumptions'!$D$40+12,AA$4&lt;'1_Assumptions'!$D$40+12+'1_Assumptions'!$D$41),1,0)*'1_Assumptions'!$D$10+IF(AND(AA$4&gt;='1_Assumptions'!$D$40+24,AA$4&lt;'1_Assumptions'!$D$40+24+'1_Assumptions'!$D$41),1,0)*'1_Assumptions'!$D$11)*'1_Assumptions'!$D$49/'1_Assumptions'!$D$41</f>
        <v>0</v>
      </c>
      <c r="AB28" s="14" t="n">
        <f aca="false">(IF(AND(AB$4&gt;='1_Assumptions'!$D$40,AB$4&lt;'1_Assumptions'!$D$40+'1_Assumptions'!$D$41),1,0)*1+IF(AND(AB$4&gt;='1_Assumptions'!$D$40+12,AB$4&lt;'1_Assumptions'!$D$40+12+'1_Assumptions'!$D$41),1,0)*'1_Assumptions'!$D$10+IF(AND(AB$4&gt;='1_Assumptions'!$D$40+24,AB$4&lt;'1_Assumptions'!$D$40+24+'1_Assumptions'!$D$41),1,0)*'1_Assumptions'!$D$11)*'1_Assumptions'!$D$49/'1_Assumptions'!$D$41</f>
        <v>0</v>
      </c>
      <c r="AC28" s="14" t="n">
        <f aca="false">(IF(AND(AC$4&gt;='1_Assumptions'!$D$40,AC$4&lt;'1_Assumptions'!$D$40+'1_Assumptions'!$D$41),1,0)*1+IF(AND(AC$4&gt;='1_Assumptions'!$D$40+12,AC$4&lt;'1_Assumptions'!$D$40+12+'1_Assumptions'!$D$41),1,0)*'1_Assumptions'!$D$10+IF(AND(AC$4&gt;='1_Assumptions'!$D$40+24,AC$4&lt;'1_Assumptions'!$D$40+24+'1_Assumptions'!$D$41),1,0)*'1_Assumptions'!$D$11)*'1_Assumptions'!$D$49/'1_Assumptions'!$D$41</f>
        <v>90000</v>
      </c>
      <c r="AD28" s="14" t="n">
        <f aca="false">(IF(AND(AD$4&gt;='1_Assumptions'!$D$40,AD$4&lt;'1_Assumptions'!$D$40+'1_Assumptions'!$D$41),1,0)*1+IF(AND(AD$4&gt;='1_Assumptions'!$D$40+12,AD$4&lt;'1_Assumptions'!$D$40+12+'1_Assumptions'!$D$41),1,0)*'1_Assumptions'!$D$10+IF(AND(AD$4&gt;='1_Assumptions'!$D$40+24,AD$4&lt;'1_Assumptions'!$D$40+24+'1_Assumptions'!$D$41),1,0)*'1_Assumptions'!$D$11)*'1_Assumptions'!$D$49/'1_Assumptions'!$D$41</f>
        <v>90000</v>
      </c>
      <c r="AE28" s="14" t="n">
        <f aca="false">(IF(AND(AE$4&gt;='1_Assumptions'!$D$40,AE$4&lt;'1_Assumptions'!$D$40+'1_Assumptions'!$D$41),1,0)*1+IF(AND(AE$4&gt;='1_Assumptions'!$D$40+12,AE$4&lt;'1_Assumptions'!$D$40+12+'1_Assumptions'!$D$41),1,0)*'1_Assumptions'!$D$10+IF(AND(AE$4&gt;='1_Assumptions'!$D$40+24,AE$4&lt;'1_Assumptions'!$D$40+24+'1_Assumptions'!$D$41),1,0)*'1_Assumptions'!$D$11)*'1_Assumptions'!$D$49/'1_Assumptions'!$D$41</f>
        <v>90000</v>
      </c>
      <c r="AF28" s="14" t="n">
        <f aca="false">(IF(AND(AF$4&gt;='1_Assumptions'!$D$40,AF$4&lt;'1_Assumptions'!$D$40+'1_Assumptions'!$D$41),1,0)*1+IF(AND(AF$4&gt;='1_Assumptions'!$D$40+12,AF$4&lt;'1_Assumptions'!$D$40+12+'1_Assumptions'!$D$41),1,0)*'1_Assumptions'!$D$10+IF(AND(AF$4&gt;='1_Assumptions'!$D$40+24,AF$4&lt;'1_Assumptions'!$D$40+24+'1_Assumptions'!$D$41),1,0)*'1_Assumptions'!$D$11)*'1_Assumptions'!$D$49/'1_Assumptions'!$D$41</f>
        <v>90000</v>
      </c>
      <c r="AG28" s="14" t="n">
        <f aca="false">(IF(AND(AG$4&gt;='1_Assumptions'!$D$40,AG$4&lt;'1_Assumptions'!$D$40+'1_Assumptions'!$D$41),1,0)*1+IF(AND(AG$4&gt;='1_Assumptions'!$D$40+12,AG$4&lt;'1_Assumptions'!$D$40+12+'1_Assumptions'!$D$41),1,0)*'1_Assumptions'!$D$10+IF(AND(AG$4&gt;='1_Assumptions'!$D$40+24,AG$4&lt;'1_Assumptions'!$D$40+24+'1_Assumptions'!$D$41),1,0)*'1_Assumptions'!$D$11)*'1_Assumptions'!$D$49/'1_Assumptions'!$D$41</f>
        <v>90000</v>
      </c>
      <c r="AH28" s="14" t="n">
        <f aca="false">(IF(AND(AH$4&gt;='1_Assumptions'!$D$40,AH$4&lt;'1_Assumptions'!$D$40+'1_Assumptions'!$D$41),1,0)*1+IF(AND(AH$4&gt;='1_Assumptions'!$D$40+12,AH$4&lt;'1_Assumptions'!$D$40+12+'1_Assumptions'!$D$41),1,0)*'1_Assumptions'!$D$10+IF(AND(AH$4&gt;='1_Assumptions'!$D$40+24,AH$4&lt;'1_Assumptions'!$D$40+24+'1_Assumptions'!$D$41),1,0)*'1_Assumptions'!$D$11)*'1_Assumptions'!$D$49/'1_Assumptions'!$D$41</f>
        <v>90000</v>
      </c>
      <c r="AI28" s="14" t="n">
        <f aca="false">(IF(AND(AI$4&gt;='1_Assumptions'!$D$40,AI$4&lt;'1_Assumptions'!$D$40+'1_Assumptions'!$D$41),1,0)*1+IF(AND(AI$4&gt;='1_Assumptions'!$D$40+12,AI$4&lt;'1_Assumptions'!$D$40+12+'1_Assumptions'!$D$41),1,0)*'1_Assumptions'!$D$10+IF(AND(AI$4&gt;='1_Assumptions'!$D$40+24,AI$4&lt;'1_Assumptions'!$D$40+24+'1_Assumptions'!$D$41),1,0)*'1_Assumptions'!$D$11)*'1_Assumptions'!$D$49/'1_Assumptions'!$D$41</f>
        <v>90000</v>
      </c>
      <c r="AJ28" s="14" t="n">
        <f aca="false">(IF(AND(AJ$4&gt;='1_Assumptions'!$D$40,AJ$4&lt;'1_Assumptions'!$D$40+'1_Assumptions'!$D$41),1,0)*1+IF(AND(AJ$4&gt;='1_Assumptions'!$D$40+12,AJ$4&lt;'1_Assumptions'!$D$40+12+'1_Assumptions'!$D$41),1,0)*'1_Assumptions'!$D$10+IF(AND(AJ$4&gt;='1_Assumptions'!$D$40+24,AJ$4&lt;'1_Assumptions'!$D$40+24+'1_Assumptions'!$D$41),1,0)*'1_Assumptions'!$D$11)*'1_Assumptions'!$D$49/'1_Assumptions'!$D$41</f>
        <v>90000</v>
      </c>
      <c r="AK28" s="14" t="n">
        <f aca="false">(IF(AND(AK$4&gt;='1_Assumptions'!$D$40,AK$4&lt;'1_Assumptions'!$D$40+'1_Assumptions'!$D$41),1,0)*1+IF(AND(AK$4&gt;='1_Assumptions'!$D$40+12,AK$4&lt;'1_Assumptions'!$D$40+12+'1_Assumptions'!$D$41),1,0)*'1_Assumptions'!$D$10+IF(AND(AK$4&gt;='1_Assumptions'!$D$40+24,AK$4&lt;'1_Assumptions'!$D$40+24+'1_Assumptions'!$D$41),1,0)*'1_Assumptions'!$D$11)*'1_Assumptions'!$D$49/'1_Assumptions'!$D$41</f>
        <v>0</v>
      </c>
      <c r="AL28" s="14" t="n">
        <f aca="false">(IF(AND(AL$4&gt;='1_Assumptions'!$D$40,AL$4&lt;'1_Assumptions'!$D$40+'1_Assumptions'!$D$41),1,0)*1+IF(AND(AL$4&gt;='1_Assumptions'!$D$40+12,AL$4&lt;'1_Assumptions'!$D$40+12+'1_Assumptions'!$D$41),1,0)*'1_Assumptions'!$D$10+IF(AND(AL$4&gt;='1_Assumptions'!$D$40+24,AL$4&lt;'1_Assumptions'!$D$40+24+'1_Assumptions'!$D$41),1,0)*'1_Assumptions'!$D$11)*'1_Assumptions'!$D$49/'1_Assumptions'!$D$41</f>
        <v>0</v>
      </c>
    </row>
    <row r="29" customFormat="false" ht="15" hidden="false" customHeight="false" outlineLevel="0" collapsed="false">
      <c r="B29" s="4" t="s">
        <v>262</v>
      </c>
      <c r="C29" s="14" t="n">
        <f aca="false">C10*'1_Assumptions'!$D$77</f>
        <v>0</v>
      </c>
      <c r="D29" s="14" t="n">
        <f aca="false">D10*'1_Assumptions'!$D$77</f>
        <v>0</v>
      </c>
      <c r="E29" s="14" t="n">
        <f aca="false">E10*'1_Assumptions'!$D$77</f>
        <v>0</v>
      </c>
      <c r="F29" s="14" t="n">
        <f aca="false">F10*'1_Assumptions'!$D$77</f>
        <v>0</v>
      </c>
      <c r="G29" s="14" t="n">
        <f aca="false">G10*'1_Assumptions'!$D$77</f>
        <v>0</v>
      </c>
      <c r="H29" s="14" t="n">
        <f aca="false">H10*'1_Assumptions'!$D$77</f>
        <v>0</v>
      </c>
      <c r="I29" s="14" t="n">
        <f aca="false">I10*'1_Assumptions'!$D$77</f>
        <v>0</v>
      </c>
      <c r="J29" s="14" t="n">
        <f aca="false">J10*'1_Assumptions'!$D$77</f>
        <v>0</v>
      </c>
      <c r="K29" s="14" t="n">
        <f aca="false">K10*'1_Assumptions'!$D$77</f>
        <v>0</v>
      </c>
      <c r="L29" s="14" t="n">
        <f aca="false">L10*'1_Assumptions'!$D$77</f>
        <v>0</v>
      </c>
      <c r="M29" s="14" t="n">
        <f aca="false">M10*'1_Assumptions'!$D$77</f>
        <v>47959.76649513</v>
      </c>
      <c r="N29" s="14" t="n">
        <f aca="false">N10*'1_Assumptions'!$D$77</f>
        <v>47959.76649513</v>
      </c>
      <c r="O29" s="14" t="n">
        <f aca="false">O10*'1_Assumptions'!$D$77</f>
        <v>47959.76649513</v>
      </c>
      <c r="P29" s="14" t="n">
        <f aca="false">P10*'1_Assumptions'!$D$77</f>
        <v>47959.76649513</v>
      </c>
      <c r="Q29" s="14" t="n">
        <f aca="false">Q10*'1_Assumptions'!$D$77</f>
        <v>47959.76649513</v>
      </c>
      <c r="R29" s="14" t="n">
        <f aca="false">R10*'1_Assumptions'!$D$77</f>
        <v>47959.76649513</v>
      </c>
      <c r="S29" s="14" t="n">
        <f aca="false">S10*'1_Assumptions'!$D$77</f>
        <v>47959.76649513</v>
      </c>
      <c r="T29" s="14" t="n">
        <f aca="false">T10*'1_Assumptions'!$D$77</f>
        <v>47959.76649513</v>
      </c>
      <c r="U29" s="14" t="n">
        <f aca="false">U10*'1_Assumptions'!$D$77</f>
        <v>0</v>
      </c>
      <c r="V29" s="14" t="n">
        <f aca="false">V10*'1_Assumptions'!$D$77</f>
        <v>0</v>
      </c>
      <c r="W29" s="14" t="n">
        <f aca="false">W10*'1_Assumptions'!$D$77</f>
        <v>0</v>
      </c>
      <c r="X29" s="14" t="n">
        <f aca="false">X10*'1_Assumptions'!$D$77</f>
        <v>0</v>
      </c>
      <c r="Y29" s="14" t="n">
        <f aca="false">Y10*'1_Assumptions'!$D$77</f>
        <v>59949.7081189125</v>
      </c>
      <c r="Z29" s="14" t="n">
        <f aca="false">Z10*'1_Assumptions'!$D$77</f>
        <v>59949.7081189125</v>
      </c>
      <c r="AA29" s="14" t="n">
        <f aca="false">AA10*'1_Assumptions'!$D$77</f>
        <v>59949.7081189125</v>
      </c>
      <c r="AB29" s="14" t="n">
        <f aca="false">AB10*'1_Assumptions'!$D$77</f>
        <v>59949.7081189125</v>
      </c>
      <c r="AC29" s="14" t="n">
        <f aca="false">AC10*'1_Assumptions'!$D$77</f>
        <v>59949.7081189125</v>
      </c>
      <c r="AD29" s="14" t="n">
        <f aca="false">AD10*'1_Assumptions'!$D$77</f>
        <v>59949.7081189125</v>
      </c>
      <c r="AE29" s="14" t="n">
        <f aca="false">AE10*'1_Assumptions'!$D$77</f>
        <v>59949.7081189125</v>
      </c>
      <c r="AF29" s="14" t="n">
        <f aca="false">AF10*'1_Assumptions'!$D$77</f>
        <v>59949.7081189125</v>
      </c>
      <c r="AG29" s="14" t="n">
        <f aca="false">AG10*'1_Assumptions'!$D$77</f>
        <v>0</v>
      </c>
      <c r="AH29" s="14" t="n">
        <f aca="false">AH10*'1_Assumptions'!$D$77</f>
        <v>0</v>
      </c>
      <c r="AI29" s="14" t="n">
        <f aca="false">AI10*'1_Assumptions'!$D$77</f>
        <v>0</v>
      </c>
      <c r="AJ29" s="14" t="n">
        <f aca="false">AJ10*'1_Assumptions'!$D$77</f>
        <v>0</v>
      </c>
      <c r="AK29" s="14" t="n">
        <f aca="false">AK10*'1_Assumptions'!$D$77</f>
        <v>71939.649742695</v>
      </c>
      <c r="AL29" s="14" t="n">
        <f aca="false">AL10*'1_Assumptions'!$D$77</f>
        <v>71939.649742695</v>
      </c>
    </row>
    <row r="30" customFormat="false" ht="15" hidden="false" customHeight="false" outlineLevel="0" collapsed="false">
      <c r="B30" s="4" t="s">
        <v>263</v>
      </c>
      <c r="C30" s="14" t="n">
        <f aca="false">(C7+C8+C9)*'1_Assumptions'!$D$54</f>
        <v>0</v>
      </c>
      <c r="D30" s="14" t="n">
        <f aca="false">(D7+D8+D9)*'1_Assumptions'!$D$54</f>
        <v>0</v>
      </c>
      <c r="E30" s="14" t="n">
        <f aca="false">(E7+E8+E9)*'1_Assumptions'!$D$54</f>
        <v>0</v>
      </c>
      <c r="F30" s="14" t="n">
        <f aca="false">(F7+F8+F9)*'1_Assumptions'!$D$54</f>
        <v>0</v>
      </c>
      <c r="G30" s="14" t="n">
        <f aca="false">(G7+G8+G9)*'1_Assumptions'!$D$54</f>
        <v>0</v>
      </c>
      <c r="H30" s="14" t="n">
        <f aca="false">(H7+H8+H9)*'1_Assumptions'!$D$54</f>
        <v>0</v>
      </c>
      <c r="I30" s="14" t="n">
        <f aca="false">(I7+I8+I9)*'1_Assumptions'!$D$54</f>
        <v>0</v>
      </c>
      <c r="J30" s="14" t="n">
        <f aca="false">(J7+J8+J9)*'1_Assumptions'!$D$54</f>
        <v>0</v>
      </c>
      <c r="K30" s="14" t="n">
        <f aca="false">(K7+K8+K9)*'1_Assumptions'!$D$54</f>
        <v>0</v>
      </c>
      <c r="L30" s="14" t="n">
        <f aca="false">(L7+L8+L9)*'1_Assumptions'!$D$54</f>
        <v>0</v>
      </c>
      <c r="M30" s="14" t="n">
        <f aca="false">(M7+M8+M9)*'1_Assumptions'!$D$54</f>
        <v>7500</v>
      </c>
      <c r="N30" s="14" t="n">
        <f aca="false">(N7+N8+N9)*'1_Assumptions'!$D$54</f>
        <v>7500</v>
      </c>
      <c r="O30" s="14" t="n">
        <f aca="false">(O7+O8+O9)*'1_Assumptions'!$D$54</f>
        <v>7500</v>
      </c>
      <c r="P30" s="14" t="n">
        <f aca="false">(P7+P8+P9)*'1_Assumptions'!$D$54</f>
        <v>7500</v>
      </c>
      <c r="Q30" s="14" t="n">
        <f aca="false">(Q7+Q8+Q9)*'1_Assumptions'!$D$54</f>
        <v>7500</v>
      </c>
      <c r="R30" s="14" t="n">
        <f aca="false">(R7+R8+R9)*'1_Assumptions'!$D$54</f>
        <v>7500</v>
      </c>
      <c r="S30" s="14" t="n">
        <f aca="false">(S7+S8+S9)*'1_Assumptions'!$D$54</f>
        <v>7500</v>
      </c>
      <c r="T30" s="14" t="n">
        <f aca="false">(T7+T8+T9)*'1_Assumptions'!$D$54</f>
        <v>7500</v>
      </c>
      <c r="U30" s="14" t="n">
        <f aca="false">(U7+U8+U9)*'1_Assumptions'!$D$54</f>
        <v>0</v>
      </c>
      <c r="V30" s="14" t="n">
        <f aca="false">(V7+V8+V9)*'1_Assumptions'!$D$54</f>
        <v>0</v>
      </c>
      <c r="W30" s="14" t="n">
        <f aca="false">(W7+W8+W9)*'1_Assumptions'!$D$54</f>
        <v>0</v>
      </c>
      <c r="X30" s="14" t="n">
        <f aca="false">(X7+X8+X9)*'1_Assumptions'!$D$54</f>
        <v>0</v>
      </c>
      <c r="Y30" s="14" t="n">
        <f aca="false">(Y7+Y8+Y9)*'1_Assumptions'!$D$54</f>
        <v>7500</v>
      </c>
      <c r="Z30" s="14" t="n">
        <f aca="false">(Z7+Z8+Z9)*'1_Assumptions'!$D$54</f>
        <v>7500</v>
      </c>
      <c r="AA30" s="14" t="n">
        <f aca="false">(AA7+AA8+AA9)*'1_Assumptions'!$D$54</f>
        <v>7500</v>
      </c>
      <c r="AB30" s="14" t="n">
        <f aca="false">(AB7+AB8+AB9)*'1_Assumptions'!$D$54</f>
        <v>7500</v>
      </c>
      <c r="AC30" s="14" t="n">
        <f aca="false">(AC7+AC8+AC9)*'1_Assumptions'!$D$54</f>
        <v>7500</v>
      </c>
      <c r="AD30" s="14" t="n">
        <f aca="false">(AD7+AD8+AD9)*'1_Assumptions'!$D$54</f>
        <v>7500</v>
      </c>
      <c r="AE30" s="14" t="n">
        <f aca="false">(AE7+AE8+AE9)*'1_Assumptions'!$D$54</f>
        <v>7500</v>
      </c>
      <c r="AF30" s="14" t="n">
        <f aca="false">(AF7+AF8+AF9)*'1_Assumptions'!$D$54</f>
        <v>7500</v>
      </c>
      <c r="AG30" s="14" t="n">
        <f aca="false">(AG7+AG8+AG9)*'1_Assumptions'!$D$54</f>
        <v>0</v>
      </c>
      <c r="AH30" s="14" t="n">
        <f aca="false">(AH7+AH8+AH9)*'1_Assumptions'!$D$54</f>
        <v>0</v>
      </c>
      <c r="AI30" s="14" t="n">
        <f aca="false">(AI7+AI8+AI9)*'1_Assumptions'!$D$54</f>
        <v>0</v>
      </c>
      <c r="AJ30" s="14" t="n">
        <f aca="false">(AJ7+AJ8+AJ9)*'1_Assumptions'!$D$54</f>
        <v>0</v>
      </c>
      <c r="AK30" s="14" t="n">
        <f aca="false">(AK7+AK8+AK9)*'1_Assumptions'!$D$54</f>
        <v>7500</v>
      </c>
      <c r="AL30" s="14" t="n">
        <f aca="false">(AL7+AL8+AL9)*'1_Assumptions'!$D$54</f>
        <v>7500</v>
      </c>
    </row>
    <row r="31" customFormat="false" ht="15" hidden="false" customHeight="false" outlineLevel="0" collapsed="false">
      <c r="B31" s="4" t="s">
        <v>264</v>
      </c>
      <c r="C31" s="14" t="n">
        <f aca="false">(C17+C23)*'1_Assumptions'!$D$28</f>
        <v>0</v>
      </c>
      <c r="D31" s="14" t="n">
        <f aca="false">(D17+D23)*'1_Assumptions'!$D$28</f>
        <v>0</v>
      </c>
      <c r="E31" s="14" t="n">
        <f aca="false">(E17+E23)*'1_Assumptions'!$D$28</f>
        <v>0</v>
      </c>
      <c r="F31" s="14" t="n">
        <f aca="false">(F17+F23)*'1_Assumptions'!$D$28</f>
        <v>0</v>
      </c>
      <c r="G31" s="14" t="n">
        <f aca="false">(G17+G23)*'1_Assumptions'!$D$28</f>
        <v>0</v>
      </c>
      <c r="H31" s="14" t="n">
        <f aca="false">(H17+H23)*'1_Assumptions'!$D$28</f>
        <v>0</v>
      </c>
      <c r="I31" s="14" t="n">
        <f aca="false">(I17+I23)*'1_Assumptions'!$D$28</f>
        <v>0</v>
      </c>
      <c r="J31" s="14" t="n">
        <f aca="false">(J17+J23)*'1_Assumptions'!$D$28</f>
        <v>0</v>
      </c>
      <c r="K31" s="14" t="n">
        <f aca="false">(K17+K23)*'1_Assumptions'!$D$28</f>
        <v>0</v>
      </c>
      <c r="L31" s="14" t="n">
        <f aca="false">(L17+L23)*'1_Assumptions'!$D$28</f>
        <v>0</v>
      </c>
      <c r="M31" s="14" t="n">
        <f aca="false">(M17+M23)*'1_Assumptions'!$D$28</f>
        <v>178981.021022965</v>
      </c>
      <c r="N31" s="14" t="n">
        <f aca="false">(N17+N23)*'1_Assumptions'!$D$28</f>
        <v>178981.021022965</v>
      </c>
      <c r="O31" s="14" t="n">
        <f aca="false">(O17+O23)*'1_Assumptions'!$D$28</f>
        <v>215731.021022965</v>
      </c>
      <c r="P31" s="14" t="n">
        <f aca="false">(P17+P23)*'1_Assumptions'!$D$28</f>
        <v>215731.021022965</v>
      </c>
      <c r="Q31" s="14" t="n">
        <f aca="false">(Q17+Q23)*'1_Assumptions'!$D$28</f>
        <v>215731.021022965</v>
      </c>
      <c r="R31" s="14" t="n">
        <f aca="false">(R17+R23)*'1_Assumptions'!$D$28</f>
        <v>215731.021022965</v>
      </c>
      <c r="S31" s="14" t="n">
        <f aca="false">(S17+S23)*'1_Assumptions'!$D$28</f>
        <v>215731.021022965</v>
      </c>
      <c r="T31" s="14" t="n">
        <f aca="false">(T17+T23)*'1_Assumptions'!$D$28</f>
        <v>215731.021022965</v>
      </c>
      <c r="U31" s="14" t="n">
        <f aca="false">(U17+U23)*'1_Assumptions'!$D$28</f>
        <v>73500</v>
      </c>
      <c r="V31" s="14" t="n">
        <f aca="false">(V17+V23)*'1_Assumptions'!$D$28</f>
        <v>73500</v>
      </c>
      <c r="W31" s="14" t="n">
        <f aca="false">(W17+W23)*'1_Assumptions'!$D$28</f>
        <v>73500</v>
      </c>
      <c r="X31" s="14" t="n">
        <f aca="false">(X17+X23)*'1_Assumptions'!$D$28</f>
        <v>73500</v>
      </c>
      <c r="Y31" s="14" t="n">
        <f aca="false">(Y17+Y23)*'1_Assumptions'!$D$28</f>
        <v>297226.276278706</v>
      </c>
      <c r="Z31" s="14" t="n">
        <f aca="false">(Z17+Z23)*'1_Assumptions'!$D$28</f>
        <v>297226.276278706</v>
      </c>
      <c r="AA31" s="14" t="n">
        <f aca="false">(AA17+AA23)*'1_Assumptions'!$D$28</f>
        <v>297226.276278706</v>
      </c>
      <c r="AB31" s="14" t="n">
        <f aca="false">(AB17+AB23)*'1_Assumptions'!$D$28</f>
        <v>297226.276278706</v>
      </c>
      <c r="AC31" s="14" t="n">
        <f aca="false">(AC17+AC23)*'1_Assumptions'!$D$28</f>
        <v>297226.276278706</v>
      </c>
      <c r="AD31" s="14" t="n">
        <f aca="false">(AD17+AD23)*'1_Assumptions'!$D$28</f>
        <v>297226.276278706</v>
      </c>
      <c r="AE31" s="14" t="n">
        <f aca="false">(AE17+AE23)*'1_Assumptions'!$D$28</f>
        <v>297226.276278706</v>
      </c>
      <c r="AF31" s="14" t="n">
        <f aca="false">(AF17+AF23)*'1_Assumptions'!$D$28</f>
        <v>297226.276278706</v>
      </c>
      <c r="AG31" s="14" t="n">
        <f aca="false">(AG17+AG23)*'1_Assumptions'!$D$28</f>
        <v>122500</v>
      </c>
      <c r="AH31" s="14" t="n">
        <f aca="false">(AH17+AH23)*'1_Assumptions'!$D$28</f>
        <v>122500</v>
      </c>
      <c r="AI31" s="14" t="n">
        <f aca="false">(AI17+AI23)*'1_Assumptions'!$D$28</f>
        <v>122500</v>
      </c>
      <c r="AJ31" s="14" t="n">
        <f aca="false">(AJ17+AJ23)*'1_Assumptions'!$D$28</f>
        <v>122500</v>
      </c>
      <c r="AK31" s="14" t="n">
        <f aca="false">(AK17+AK23)*'1_Assumptions'!$D$28</f>
        <v>390971.531534447</v>
      </c>
      <c r="AL31" s="14" t="n">
        <f aca="false">(AL17+AL23)*'1_Assumptions'!$D$28</f>
        <v>390971.531534447</v>
      </c>
    </row>
    <row r="32" customFormat="false" ht="15" hidden="false" customHeight="false" outlineLevel="0" collapsed="false">
      <c r="B32" s="4" t="s">
        <v>265</v>
      </c>
      <c r="C32" s="14" t="n">
        <f aca="false">C22*1000*'1_Assumptions'!$D$47</f>
        <v>0</v>
      </c>
      <c r="D32" s="14" t="n">
        <f aca="false">D22*1000*'1_Assumptions'!$D$47</f>
        <v>0</v>
      </c>
      <c r="E32" s="14" t="n">
        <f aca="false">E22*1000*'1_Assumptions'!$D$47</f>
        <v>0</v>
      </c>
      <c r="F32" s="14" t="n">
        <f aca="false">F22*1000*'1_Assumptions'!$D$47</f>
        <v>0</v>
      </c>
      <c r="G32" s="14" t="n">
        <f aca="false">G22*1000*'1_Assumptions'!$D$47</f>
        <v>0</v>
      </c>
      <c r="H32" s="14" t="n">
        <f aca="false">H22*1000*'1_Assumptions'!$D$47</f>
        <v>0</v>
      </c>
      <c r="I32" s="14" t="n">
        <f aca="false">I22*1000*'1_Assumptions'!$D$47</f>
        <v>0</v>
      </c>
      <c r="J32" s="14" t="n">
        <f aca="false">J22*1000*'1_Assumptions'!$D$47</f>
        <v>0</v>
      </c>
      <c r="K32" s="14" t="n">
        <f aca="false">K22*1000*'1_Assumptions'!$D$47</f>
        <v>0</v>
      </c>
      <c r="L32" s="14" t="n">
        <f aca="false">L22*1000*'1_Assumptions'!$D$47</f>
        <v>0</v>
      </c>
      <c r="M32" s="14" t="n">
        <f aca="false">M22*1000*'1_Assumptions'!$D$47</f>
        <v>0</v>
      </c>
      <c r="N32" s="14" t="n">
        <f aca="false">N22*1000*'1_Assumptions'!$D$47</f>
        <v>0</v>
      </c>
      <c r="O32" s="14" t="n">
        <f aca="false">O22*1000*'1_Assumptions'!$D$47</f>
        <v>135000</v>
      </c>
      <c r="P32" s="14" t="n">
        <f aca="false">P22*1000*'1_Assumptions'!$D$47</f>
        <v>135000</v>
      </c>
      <c r="Q32" s="14" t="n">
        <f aca="false">Q22*1000*'1_Assumptions'!$D$47</f>
        <v>135000</v>
      </c>
      <c r="R32" s="14" t="n">
        <f aca="false">R22*1000*'1_Assumptions'!$D$47</f>
        <v>135000</v>
      </c>
      <c r="S32" s="14" t="n">
        <f aca="false">S22*1000*'1_Assumptions'!$D$47</f>
        <v>135000</v>
      </c>
      <c r="T32" s="14" t="n">
        <f aca="false">T22*1000*'1_Assumptions'!$D$47</f>
        <v>135000</v>
      </c>
      <c r="U32" s="14" t="n">
        <f aca="false">U22*1000*'1_Assumptions'!$D$47</f>
        <v>270000</v>
      </c>
      <c r="V32" s="14" t="n">
        <f aca="false">V22*1000*'1_Assumptions'!$D$47</f>
        <v>270000</v>
      </c>
      <c r="W32" s="14" t="n">
        <f aca="false">W22*1000*'1_Assumptions'!$D$47</f>
        <v>270000</v>
      </c>
      <c r="X32" s="14" t="n">
        <f aca="false">X22*1000*'1_Assumptions'!$D$47</f>
        <v>270000</v>
      </c>
      <c r="Y32" s="14" t="n">
        <f aca="false">Y22*1000*'1_Assumptions'!$D$47</f>
        <v>270000</v>
      </c>
      <c r="Z32" s="14" t="n">
        <f aca="false">Z22*1000*'1_Assumptions'!$D$47</f>
        <v>270000</v>
      </c>
      <c r="AA32" s="14" t="n">
        <f aca="false">AA22*1000*'1_Assumptions'!$D$47</f>
        <v>270000</v>
      </c>
      <c r="AB32" s="14" t="n">
        <f aca="false">AB22*1000*'1_Assumptions'!$D$47</f>
        <v>270000</v>
      </c>
      <c r="AC32" s="14" t="n">
        <f aca="false">AC22*1000*'1_Assumptions'!$D$47</f>
        <v>270000</v>
      </c>
      <c r="AD32" s="14" t="n">
        <f aca="false">AD22*1000*'1_Assumptions'!$D$47</f>
        <v>270000</v>
      </c>
      <c r="AE32" s="14" t="n">
        <f aca="false">AE22*1000*'1_Assumptions'!$D$47</f>
        <v>270000</v>
      </c>
      <c r="AF32" s="14" t="n">
        <f aca="false">AF22*1000*'1_Assumptions'!$D$47</f>
        <v>270000</v>
      </c>
      <c r="AG32" s="14" t="n">
        <f aca="false">AG22*1000*'1_Assumptions'!$D$47</f>
        <v>450000</v>
      </c>
      <c r="AH32" s="14" t="n">
        <f aca="false">AH22*1000*'1_Assumptions'!$D$47</f>
        <v>450000</v>
      </c>
      <c r="AI32" s="14" t="n">
        <f aca="false">AI22*1000*'1_Assumptions'!$D$47</f>
        <v>450000</v>
      </c>
      <c r="AJ32" s="14" t="n">
        <f aca="false">AJ22*1000*'1_Assumptions'!$D$47</f>
        <v>450000</v>
      </c>
      <c r="AK32" s="14" t="n">
        <f aca="false">AK22*1000*'1_Assumptions'!$D$47</f>
        <v>450000</v>
      </c>
      <c r="AL32" s="14" t="n">
        <f aca="false">AL22*1000*'1_Assumptions'!$D$47</f>
        <v>450000</v>
      </c>
    </row>
    <row r="33" customFormat="false" ht="15" hidden="false" customHeight="false" outlineLevel="0" collapsed="false">
      <c r="B33" s="19" t="s">
        <v>266</v>
      </c>
      <c r="C33" s="14" t="n">
        <f aca="false">SUM(C28:C32)</f>
        <v>0</v>
      </c>
      <c r="D33" s="14" t="n">
        <f aca="false">SUM(D28:D32)</f>
        <v>0</v>
      </c>
      <c r="E33" s="14" t="n">
        <f aca="false">SUM(E28:E32)</f>
        <v>60000</v>
      </c>
      <c r="F33" s="14" t="n">
        <f aca="false">SUM(F28:F32)</f>
        <v>60000</v>
      </c>
      <c r="G33" s="14" t="n">
        <f aca="false">SUM(G28:G32)</f>
        <v>60000</v>
      </c>
      <c r="H33" s="14" t="n">
        <f aca="false">SUM(H28:H32)</f>
        <v>60000</v>
      </c>
      <c r="I33" s="14" t="n">
        <f aca="false">SUM(I28:I32)</f>
        <v>60000</v>
      </c>
      <c r="J33" s="14" t="n">
        <f aca="false">SUM(J28:J32)</f>
        <v>60000</v>
      </c>
      <c r="K33" s="14" t="n">
        <f aca="false">SUM(K28:K32)</f>
        <v>60000</v>
      </c>
      <c r="L33" s="14" t="n">
        <f aca="false">SUM(L28:L32)</f>
        <v>60000</v>
      </c>
      <c r="M33" s="14" t="n">
        <f aca="false">SUM(M28:M32)</f>
        <v>234440.787518095</v>
      </c>
      <c r="N33" s="14" t="n">
        <f aca="false">SUM(N28:N32)</f>
        <v>234440.787518095</v>
      </c>
      <c r="O33" s="14" t="n">
        <f aca="false">SUM(O28:O32)</f>
        <v>406190.787518095</v>
      </c>
      <c r="P33" s="14" t="n">
        <f aca="false">SUM(P28:P32)</f>
        <v>406190.787518095</v>
      </c>
      <c r="Q33" s="14" t="n">
        <f aca="false">SUM(Q28:Q32)</f>
        <v>481190.787518095</v>
      </c>
      <c r="R33" s="14" t="n">
        <f aca="false">SUM(R28:R32)</f>
        <v>481190.787518095</v>
      </c>
      <c r="S33" s="14" t="n">
        <f aca="false">SUM(S28:S32)</f>
        <v>481190.787518095</v>
      </c>
      <c r="T33" s="14" t="n">
        <f aca="false">SUM(T28:T32)</f>
        <v>481190.787518095</v>
      </c>
      <c r="U33" s="14" t="n">
        <f aca="false">SUM(U28:U32)</f>
        <v>418500</v>
      </c>
      <c r="V33" s="14" t="n">
        <f aca="false">SUM(V28:V32)</f>
        <v>418500</v>
      </c>
      <c r="W33" s="14" t="n">
        <f aca="false">SUM(W28:W32)</f>
        <v>418500</v>
      </c>
      <c r="X33" s="14" t="n">
        <f aca="false">SUM(X28:X32)</f>
        <v>418500</v>
      </c>
      <c r="Y33" s="14" t="n">
        <f aca="false">SUM(Y28:Y32)</f>
        <v>634675.984397619</v>
      </c>
      <c r="Z33" s="14" t="n">
        <f aca="false">SUM(Z28:Z32)</f>
        <v>634675.984397619</v>
      </c>
      <c r="AA33" s="14" t="n">
        <f aca="false">SUM(AA28:AA32)</f>
        <v>634675.984397619</v>
      </c>
      <c r="AB33" s="14" t="n">
        <f aca="false">SUM(AB28:AB32)</f>
        <v>634675.984397619</v>
      </c>
      <c r="AC33" s="14" t="n">
        <f aca="false">SUM(AC28:AC32)</f>
        <v>724675.984397619</v>
      </c>
      <c r="AD33" s="14" t="n">
        <f aca="false">SUM(AD28:AD32)</f>
        <v>724675.984397619</v>
      </c>
      <c r="AE33" s="14" t="n">
        <f aca="false">SUM(AE28:AE32)</f>
        <v>724675.984397619</v>
      </c>
      <c r="AF33" s="14" t="n">
        <f aca="false">SUM(AF28:AF32)</f>
        <v>724675.984397619</v>
      </c>
      <c r="AG33" s="14" t="n">
        <f aca="false">SUM(AG28:AG32)</f>
        <v>662500</v>
      </c>
      <c r="AH33" s="14" t="n">
        <f aca="false">SUM(AH28:AH32)</f>
        <v>662500</v>
      </c>
      <c r="AI33" s="14" t="n">
        <f aca="false">SUM(AI28:AI32)</f>
        <v>662500</v>
      </c>
      <c r="AJ33" s="14" t="n">
        <f aca="false">SUM(AJ28:AJ32)</f>
        <v>662500</v>
      </c>
      <c r="AK33" s="14" t="n">
        <f aca="false">SUM(AK28:AK32)</f>
        <v>920411.181277142</v>
      </c>
      <c r="AL33" s="14" t="n">
        <f aca="false">SUM(AL28:AL32)</f>
        <v>920411.181277142</v>
      </c>
    </row>
    <row r="34" customFormat="false" ht="15" hidden="false" customHeight="false" outlineLevel="0" collapsed="false">
      <c r="B34" s="19" t="s">
        <v>267</v>
      </c>
      <c r="C34" s="14" t="n">
        <f aca="false">C25-C33</f>
        <v>0</v>
      </c>
      <c r="D34" s="14" t="n">
        <f aca="false">D25-D33</f>
        <v>0</v>
      </c>
      <c r="E34" s="14" t="n">
        <f aca="false">E25-E33</f>
        <v>-60000</v>
      </c>
      <c r="F34" s="14" t="n">
        <f aca="false">F25-F33</f>
        <v>-60000</v>
      </c>
      <c r="G34" s="14" t="n">
        <f aca="false">G25-G33</f>
        <v>-60000</v>
      </c>
      <c r="H34" s="14" t="n">
        <f aca="false">H25-H33</f>
        <v>-60000</v>
      </c>
      <c r="I34" s="14" t="n">
        <f aca="false">I25-I33</f>
        <v>-35833</v>
      </c>
      <c r="J34" s="14" t="n">
        <f aca="false">J25-J33</f>
        <v>-35833</v>
      </c>
      <c r="K34" s="14" t="n">
        <f aca="false">K25-K33</f>
        <v>-35833</v>
      </c>
      <c r="L34" s="14" t="n">
        <f aca="false">L25-L33</f>
        <v>-35833</v>
      </c>
      <c r="M34" s="14" t="n">
        <f aca="false">M25-M33</f>
        <v>1323849.24982161</v>
      </c>
      <c r="N34" s="14" t="n">
        <f aca="false">N25-N33</f>
        <v>1323849.24982161</v>
      </c>
      <c r="O34" s="14" t="n">
        <f aca="false">O25-O33</f>
        <v>1467099.24982161</v>
      </c>
      <c r="P34" s="14" t="n">
        <f aca="false">P25-P33</f>
        <v>1467099.24982161</v>
      </c>
      <c r="Q34" s="14" t="n">
        <f aca="false">Q25-Q33</f>
        <v>1392099.24982161</v>
      </c>
      <c r="R34" s="14" t="n">
        <f aca="false">R25-R33</f>
        <v>1392099.24982161</v>
      </c>
      <c r="S34" s="14" t="n">
        <f aca="false">S25-S33</f>
        <v>1392099.24982161</v>
      </c>
      <c r="T34" s="14" t="n">
        <f aca="false">T25-T33</f>
        <v>1392099.24982161</v>
      </c>
      <c r="U34" s="14" t="n">
        <f aca="false">U25-U33</f>
        <v>235667</v>
      </c>
      <c r="V34" s="14" t="n">
        <f aca="false">V25-V33</f>
        <v>235667</v>
      </c>
      <c r="W34" s="14" t="n">
        <f aca="false">W25-W33</f>
        <v>235667</v>
      </c>
      <c r="X34" s="14" t="n">
        <f aca="false">X25-X33</f>
        <v>235667</v>
      </c>
      <c r="Y34" s="14" t="n">
        <f aca="false">Y25-Y33</f>
        <v>1937144.81227701</v>
      </c>
      <c r="Z34" s="14" t="n">
        <f aca="false">Z25-Z33</f>
        <v>1937144.81227701</v>
      </c>
      <c r="AA34" s="14" t="n">
        <f aca="false">AA25-AA33</f>
        <v>1937144.81227701</v>
      </c>
      <c r="AB34" s="14" t="n">
        <f aca="false">AB25-AB33</f>
        <v>1937144.81227701</v>
      </c>
      <c r="AC34" s="14" t="n">
        <f aca="false">AC25-AC33</f>
        <v>1847144.81227701</v>
      </c>
      <c r="AD34" s="14" t="n">
        <f aca="false">AD25-AD33</f>
        <v>1847144.81227701</v>
      </c>
      <c r="AE34" s="14" t="n">
        <f aca="false">AE25-AE33</f>
        <v>1847144.81227701</v>
      </c>
      <c r="AF34" s="14" t="n">
        <f aca="false">AF25-AF33</f>
        <v>1847144.81227701</v>
      </c>
      <c r="AG34" s="14" t="n">
        <f aca="false">AG25-AG33</f>
        <v>411667</v>
      </c>
      <c r="AH34" s="14" t="n">
        <f aca="false">AH25-AH33</f>
        <v>411667</v>
      </c>
      <c r="AI34" s="14" t="n">
        <f aca="false">AI25-AI33</f>
        <v>411667</v>
      </c>
      <c r="AJ34" s="14" t="n">
        <f aca="false">AJ25-AJ33</f>
        <v>411667</v>
      </c>
      <c r="AK34" s="14" t="n">
        <f aca="false">AK25-AK33</f>
        <v>2454940.37473241</v>
      </c>
      <c r="AL34" s="14" t="n">
        <f aca="false">AL25-AL33</f>
        <v>2454940.37473241</v>
      </c>
    </row>
    <row r="36" customFormat="false" ht="15" hidden="false" customHeight="false" outlineLevel="0" collapsed="false">
      <c r="B36" s="16" t="s">
        <v>268</v>
      </c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</row>
    <row r="37" customFormat="false" ht="15" hidden="false" customHeight="false" outlineLevel="0" collapsed="false">
      <c r="B37" s="4" t="s">
        <v>269</v>
      </c>
      <c r="C37" s="14" t="n">
        <f aca="false">'1_Assumptions'!$D$55*IF(C$4&lt;=6,'1_Assumptions'!$D$56,1)</f>
        <v>23500</v>
      </c>
      <c r="D37" s="14" t="n">
        <f aca="false">'1_Assumptions'!$D$55*IF(D$4&lt;=6,'1_Assumptions'!$D$56,1)</f>
        <v>23500</v>
      </c>
      <c r="E37" s="14" t="n">
        <f aca="false">'1_Assumptions'!$D$55*IF(E$4&lt;=6,'1_Assumptions'!$D$56,1)</f>
        <v>23500</v>
      </c>
      <c r="F37" s="14" t="n">
        <f aca="false">'1_Assumptions'!$D$55*IF(F$4&lt;=6,'1_Assumptions'!$D$56,1)</f>
        <v>23500</v>
      </c>
      <c r="G37" s="14" t="n">
        <f aca="false">'1_Assumptions'!$D$55*IF(G$4&lt;=6,'1_Assumptions'!$D$56,1)</f>
        <v>23500</v>
      </c>
      <c r="H37" s="14" t="n">
        <f aca="false">'1_Assumptions'!$D$55*IF(H$4&lt;=6,'1_Assumptions'!$D$56,1)</f>
        <v>23500</v>
      </c>
      <c r="I37" s="14" t="n">
        <f aca="false">'1_Assumptions'!$D$55*IF(I$4&lt;=6,'1_Assumptions'!$D$56,1)</f>
        <v>47000</v>
      </c>
      <c r="J37" s="14" t="n">
        <f aca="false">'1_Assumptions'!$D$55*IF(J$4&lt;=6,'1_Assumptions'!$D$56,1)</f>
        <v>47000</v>
      </c>
      <c r="K37" s="14" t="n">
        <f aca="false">'1_Assumptions'!$D$55*IF(K$4&lt;=6,'1_Assumptions'!$D$56,1)</f>
        <v>47000</v>
      </c>
      <c r="L37" s="14" t="n">
        <f aca="false">'1_Assumptions'!$D$55*IF(L$4&lt;=6,'1_Assumptions'!$D$56,1)</f>
        <v>47000</v>
      </c>
      <c r="M37" s="14" t="n">
        <f aca="false">'1_Assumptions'!$D$55*IF(M$4&lt;=6,'1_Assumptions'!$D$56,1)</f>
        <v>47000</v>
      </c>
      <c r="N37" s="14" t="n">
        <f aca="false">'1_Assumptions'!$D$55*IF(N$4&lt;=6,'1_Assumptions'!$D$56,1)</f>
        <v>47000</v>
      </c>
      <c r="O37" s="14" t="n">
        <f aca="false">'1_Assumptions'!$D$55*IF(O$4&lt;=6,'1_Assumptions'!$D$56,1)</f>
        <v>47000</v>
      </c>
      <c r="P37" s="14" t="n">
        <f aca="false">'1_Assumptions'!$D$55*IF(P$4&lt;=6,'1_Assumptions'!$D$56,1)</f>
        <v>47000</v>
      </c>
      <c r="Q37" s="14" t="n">
        <f aca="false">'1_Assumptions'!$D$55*IF(Q$4&lt;=6,'1_Assumptions'!$D$56,1)</f>
        <v>47000</v>
      </c>
      <c r="R37" s="14" t="n">
        <f aca="false">'1_Assumptions'!$D$55*IF(R$4&lt;=6,'1_Assumptions'!$D$56,1)</f>
        <v>47000</v>
      </c>
      <c r="S37" s="14" t="n">
        <f aca="false">'1_Assumptions'!$D$55*IF(S$4&lt;=6,'1_Assumptions'!$D$56,1)</f>
        <v>47000</v>
      </c>
      <c r="T37" s="14" t="n">
        <f aca="false">'1_Assumptions'!$D$55*IF(T$4&lt;=6,'1_Assumptions'!$D$56,1)</f>
        <v>47000</v>
      </c>
      <c r="U37" s="14" t="n">
        <f aca="false">'1_Assumptions'!$D$55*IF(U$4&lt;=6,'1_Assumptions'!$D$56,1)</f>
        <v>47000</v>
      </c>
      <c r="V37" s="14" t="n">
        <f aca="false">'1_Assumptions'!$D$55*IF(V$4&lt;=6,'1_Assumptions'!$D$56,1)</f>
        <v>47000</v>
      </c>
      <c r="W37" s="14" t="n">
        <f aca="false">'1_Assumptions'!$D$55*IF(W$4&lt;=6,'1_Assumptions'!$D$56,1)</f>
        <v>47000</v>
      </c>
      <c r="X37" s="14" t="n">
        <f aca="false">'1_Assumptions'!$D$55*IF(X$4&lt;=6,'1_Assumptions'!$D$56,1)</f>
        <v>47000</v>
      </c>
      <c r="Y37" s="14" t="n">
        <f aca="false">'1_Assumptions'!$D$55*IF(Y$4&lt;=6,'1_Assumptions'!$D$56,1)</f>
        <v>47000</v>
      </c>
      <c r="Z37" s="14" t="n">
        <f aca="false">'1_Assumptions'!$D$55*IF(Z$4&lt;=6,'1_Assumptions'!$D$56,1)</f>
        <v>47000</v>
      </c>
      <c r="AA37" s="14" t="n">
        <f aca="false">'1_Assumptions'!$D$55*IF(AA$4&lt;=6,'1_Assumptions'!$D$56,1)</f>
        <v>47000</v>
      </c>
      <c r="AB37" s="14" t="n">
        <f aca="false">'1_Assumptions'!$D$55*IF(AB$4&lt;=6,'1_Assumptions'!$D$56,1)</f>
        <v>47000</v>
      </c>
      <c r="AC37" s="14" t="n">
        <f aca="false">'1_Assumptions'!$D$55*IF(AC$4&lt;=6,'1_Assumptions'!$D$56,1)</f>
        <v>47000</v>
      </c>
      <c r="AD37" s="14" t="n">
        <f aca="false">'1_Assumptions'!$D$55*IF(AD$4&lt;=6,'1_Assumptions'!$D$56,1)</f>
        <v>47000</v>
      </c>
      <c r="AE37" s="14" t="n">
        <f aca="false">'1_Assumptions'!$D$55*IF(AE$4&lt;=6,'1_Assumptions'!$D$56,1)</f>
        <v>47000</v>
      </c>
      <c r="AF37" s="14" t="n">
        <f aca="false">'1_Assumptions'!$D$55*IF(AF$4&lt;=6,'1_Assumptions'!$D$56,1)</f>
        <v>47000</v>
      </c>
      <c r="AG37" s="14" t="n">
        <f aca="false">'1_Assumptions'!$D$55*IF(AG$4&lt;=6,'1_Assumptions'!$D$56,1)</f>
        <v>47000</v>
      </c>
      <c r="AH37" s="14" t="n">
        <f aca="false">'1_Assumptions'!$D$55*IF(AH$4&lt;=6,'1_Assumptions'!$D$56,1)</f>
        <v>47000</v>
      </c>
      <c r="AI37" s="14" t="n">
        <f aca="false">'1_Assumptions'!$D$55*IF(AI$4&lt;=6,'1_Assumptions'!$D$56,1)</f>
        <v>47000</v>
      </c>
      <c r="AJ37" s="14" t="n">
        <f aca="false">'1_Assumptions'!$D$55*IF(AJ$4&lt;=6,'1_Assumptions'!$D$56,1)</f>
        <v>47000</v>
      </c>
      <c r="AK37" s="14" t="n">
        <f aca="false">'1_Assumptions'!$D$55*IF(AK$4&lt;=6,'1_Assumptions'!$D$56,1)</f>
        <v>47000</v>
      </c>
      <c r="AL37" s="14" t="n">
        <f aca="false">'1_Assumptions'!$D$55*IF(AL$4&lt;=6,'1_Assumptions'!$D$56,1)</f>
        <v>47000</v>
      </c>
    </row>
    <row r="38" customFormat="false" ht="15" hidden="false" customHeight="false" outlineLevel="0" collapsed="false">
      <c r="B38" s="4" t="s">
        <v>270</v>
      </c>
      <c r="C38" s="14" t="n">
        <f aca="false">'1_Assumptions'!$D$57</f>
        <v>26000</v>
      </c>
      <c r="D38" s="14" t="n">
        <f aca="false">'1_Assumptions'!$D$57</f>
        <v>26000</v>
      </c>
      <c r="E38" s="14" t="n">
        <f aca="false">'1_Assumptions'!$D$57</f>
        <v>26000</v>
      </c>
      <c r="F38" s="14" t="n">
        <f aca="false">'1_Assumptions'!$D$57</f>
        <v>26000</v>
      </c>
      <c r="G38" s="14" t="n">
        <f aca="false">'1_Assumptions'!$D$57</f>
        <v>26000</v>
      </c>
      <c r="H38" s="14" t="n">
        <f aca="false">'1_Assumptions'!$D$57</f>
        <v>26000</v>
      </c>
      <c r="I38" s="14" t="n">
        <f aca="false">'1_Assumptions'!$D$57</f>
        <v>26000</v>
      </c>
      <c r="J38" s="14" t="n">
        <f aca="false">'1_Assumptions'!$D$57</f>
        <v>26000</v>
      </c>
      <c r="K38" s="14" t="n">
        <f aca="false">'1_Assumptions'!$D$57</f>
        <v>26000</v>
      </c>
      <c r="L38" s="14" t="n">
        <f aca="false">'1_Assumptions'!$D$57</f>
        <v>26000</v>
      </c>
      <c r="M38" s="14" t="n">
        <f aca="false">'1_Assumptions'!$D$57</f>
        <v>26000</v>
      </c>
      <c r="N38" s="14" t="n">
        <f aca="false">'1_Assumptions'!$D$57</f>
        <v>26000</v>
      </c>
      <c r="O38" s="14" t="n">
        <f aca="false">'1_Assumptions'!$D$57</f>
        <v>26000</v>
      </c>
      <c r="P38" s="14" t="n">
        <f aca="false">'1_Assumptions'!$D$57</f>
        <v>26000</v>
      </c>
      <c r="Q38" s="14" t="n">
        <f aca="false">'1_Assumptions'!$D$57</f>
        <v>26000</v>
      </c>
      <c r="R38" s="14" t="n">
        <f aca="false">'1_Assumptions'!$D$57</f>
        <v>26000</v>
      </c>
      <c r="S38" s="14" t="n">
        <f aca="false">'1_Assumptions'!$D$57</f>
        <v>26000</v>
      </c>
      <c r="T38" s="14" t="n">
        <f aca="false">'1_Assumptions'!$D$57</f>
        <v>26000</v>
      </c>
      <c r="U38" s="14" t="n">
        <f aca="false">'1_Assumptions'!$D$57</f>
        <v>26000</v>
      </c>
      <c r="V38" s="14" t="n">
        <f aca="false">'1_Assumptions'!$D$57</f>
        <v>26000</v>
      </c>
      <c r="W38" s="14" t="n">
        <f aca="false">'1_Assumptions'!$D$57</f>
        <v>26000</v>
      </c>
      <c r="X38" s="14" t="n">
        <f aca="false">'1_Assumptions'!$D$57</f>
        <v>26000</v>
      </c>
      <c r="Y38" s="14" t="n">
        <f aca="false">'1_Assumptions'!$D$57</f>
        <v>26000</v>
      </c>
      <c r="Z38" s="14" t="n">
        <f aca="false">'1_Assumptions'!$D$57</f>
        <v>26000</v>
      </c>
      <c r="AA38" s="14" t="n">
        <f aca="false">'1_Assumptions'!$D$57</f>
        <v>26000</v>
      </c>
      <c r="AB38" s="14" t="n">
        <f aca="false">'1_Assumptions'!$D$57</f>
        <v>26000</v>
      </c>
      <c r="AC38" s="14" t="n">
        <f aca="false">'1_Assumptions'!$D$57</f>
        <v>26000</v>
      </c>
      <c r="AD38" s="14" t="n">
        <f aca="false">'1_Assumptions'!$D$57</f>
        <v>26000</v>
      </c>
      <c r="AE38" s="14" t="n">
        <f aca="false">'1_Assumptions'!$D$57</f>
        <v>26000</v>
      </c>
      <c r="AF38" s="14" t="n">
        <f aca="false">'1_Assumptions'!$D$57</f>
        <v>26000</v>
      </c>
      <c r="AG38" s="14" t="n">
        <f aca="false">'1_Assumptions'!$D$57</f>
        <v>26000</v>
      </c>
      <c r="AH38" s="14" t="n">
        <f aca="false">'1_Assumptions'!$D$57</f>
        <v>26000</v>
      </c>
      <c r="AI38" s="14" t="n">
        <f aca="false">'1_Assumptions'!$D$57</f>
        <v>26000</v>
      </c>
      <c r="AJ38" s="14" t="n">
        <f aca="false">'1_Assumptions'!$D$57</f>
        <v>26000</v>
      </c>
      <c r="AK38" s="14" t="n">
        <f aca="false">'1_Assumptions'!$D$57</f>
        <v>26000</v>
      </c>
      <c r="AL38" s="14" t="n">
        <f aca="false">'1_Assumptions'!$D$57</f>
        <v>26000</v>
      </c>
    </row>
    <row r="39" customFormat="false" ht="15" hidden="false" customHeight="false" outlineLevel="0" collapsed="false">
      <c r="B39" s="4" t="s">
        <v>271</v>
      </c>
      <c r="C39" s="14" t="n">
        <f aca="false">IF(C$4&gt;='1_Assumptions'!$D$59,'1_Assumptions'!$D$58,0)</f>
        <v>0</v>
      </c>
      <c r="D39" s="14" t="n">
        <f aca="false">IF(D$4&gt;='1_Assumptions'!$D$59,'1_Assumptions'!$D$58,0)</f>
        <v>0</v>
      </c>
      <c r="E39" s="14" t="n">
        <f aca="false">IF(E$4&gt;='1_Assumptions'!$D$59,'1_Assumptions'!$D$58,0)</f>
        <v>0</v>
      </c>
      <c r="F39" s="14" t="n">
        <f aca="false">IF(F$4&gt;='1_Assumptions'!$D$59,'1_Assumptions'!$D$58,0)</f>
        <v>0</v>
      </c>
      <c r="G39" s="14" t="n">
        <f aca="false">IF(G$4&gt;='1_Assumptions'!$D$59,'1_Assumptions'!$D$58,0)</f>
        <v>0</v>
      </c>
      <c r="H39" s="14" t="n">
        <f aca="false">IF(H$4&gt;='1_Assumptions'!$D$59,'1_Assumptions'!$D$58,0)</f>
        <v>0</v>
      </c>
      <c r="I39" s="14" t="n">
        <f aca="false">IF(I$4&gt;='1_Assumptions'!$D$59,'1_Assumptions'!$D$58,0)</f>
        <v>0</v>
      </c>
      <c r="J39" s="14" t="n">
        <f aca="false">IF(J$4&gt;='1_Assumptions'!$D$59,'1_Assumptions'!$D$58,0)</f>
        <v>0</v>
      </c>
      <c r="K39" s="14" t="n">
        <f aca="false">IF(K$4&gt;='1_Assumptions'!$D$59,'1_Assumptions'!$D$58,0)</f>
        <v>10000</v>
      </c>
      <c r="L39" s="14" t="n">
        <f aca="false">IF(L$4&gt;='1_Assumptions'!$D$59,'1_Assumptions'!$D$58,0)</f>
        <v>10000</v>
      </c>
      <c r="M39" s="14" t="n">
        <f aca="false">IF(M$4&gt;='1_Assumptions'!$D$59,'1_Assumptions'!$D$58,0)</f>
        <v>10000</v>
      </c>
      <c r="N39" s="14" t="n">
        <f aca="false">IF(N$4&gt;='1_Assumptions'!$D$59,'1_Assumptions'!$D$58,0)</f>
        <v>10000</v>
      </c>
      <c r="O39" s="14" t="n">
        <f aca="false">IF(O$4&gt;='1_Assumptions'!$D$59,'1_Assumptions'!$D$58,0)</f>
        <v>10000</v>
      </c>
      <c r="P39" s="14" t="n">
        <f aca="false">IF(P$4&gt;='1_Assumptions'!$D$59,'1_Assumptions'!$D$58,0)</f>
        <v>10000</v>
      </c>
      <c r="Q39" s="14" t="n">
        <f aca="false">IF(Q$4&gt;='1_Assumptions'!$D$59,'1_Assumptions'!$D$58,0)</f>
        <v>10000</v>
      </c>
      <c r="R39" s="14" t="n">
        <f aca="false">IF(R$4&gt;='1_Assumptions'!$D$59,'1_Assumptions'!$D$58,0)</f>
        <v>10000</v>
      </c>
      <c r="S39" s="14" t="n">
        <f aca="false">IF(S$4&gt;='1_Assumptions'!$D$59,'1_Assumptions'!$D$58,0)</f>
        <v>10000</v>
      </c>
      <c r="T39" s="14" t="n">
        <f aca="false">IF(T$4&gt;='1_Assumptions'!$D$59,'1_Assumptions'!$D$58,0)</f>
        <v>10000</v>
      </c>
      <c r="U39" s="14" t="n">
        <f aca="false">IF(U$4&gt;='1_Assumptions'!$D$59,'1_Assumptions'!$D$58,0)</f>
        <v>10000</v>
      </c>
      <c r="V39" s="14" t="n">
        <f aca="false">IF(V$4&gt;='1_Assumptions'!$D$59,'1_Assumptions'!$D$58,0)</f>
        <v>10000</v>
      </c>
      <c r="W39" s="14" t="n">
        <f aca="false">IF(W$4&gt;='1_Assumptions'!$D$59,'1_Assumptions'!$D$58,0)</f>
        <v>10000</v>
      </c>
      <c r="X39" s="14" t="n">
        <f aca="false">IF(X$4&gt;='1_Assumptions'!$D$59,'1_Assumptions'!$D$58,0)</f>
        <v>10000</v>
      </c>
      <c r="Y39" s="14" t="n">
        <f aca="false">IF(Y$4&gt;='1_Assumptions'!$D$59,'1_Assumptions'!$D$58,0)</f>
        <v>10000</v>
      </c>
      <c r="Z39" s="14" t="n">
        <f aca="false">IF(Z$4&gt;='1_Assumptions'!$D$59,'1_Assumptions'!$D$58,0)</f>
        <v>10000</v>
      </c>
      <c r="AA39" s="14" t="n">
        <f aca="false">IF(AA$4&gt;='1_Assumptions'!$D$59,'1_Assumptions'!$D$58,0)</f>
        <v>10000</v>
      </c>
      <c r="AB39" s="14" t="n">
        <f aca="false">IF(AB$4&gt;='1_Assumptions'!$D$59,'1_Assumptions'!$D$58,0)</f>
        <v>10000</v>
      </c>
      <c r="AC39" s="14" t="n">
        <f aca="false">IF(AC$4&gt;='1_Assumptions'!$D$59,'1_Assumptions'!$D$58,0)</f>
        <v>10000</v>
      </c>
      <c r="AD39" s="14" t="n">
        <f aca="false">IF(AD$4&gt;='1_Assumptions'!$D$59,'1_Assumptions'!$D$58,0)</f>
        <v>10000</v>
      </c>
      <c r="AE39" s="14" t="n">
        <f aca="false">IF(AE$4&gt;='1_Assumptions'!$D$59,'1_Assumptions'!$D$58,0)</f>
        <v>10000</v>
      </c>
      <c r="AF39" s="14" t="n">
        <f aca="false">IF(AF$4&gt;='1_Assumptions'!$D$59,'1_Assumptions'!$D$58,0)</f>
        <v>10000</v>
      </c>
      <c r="AG39" s="14" t="n">
        <f aca="false">IF(AG$4&gt;='1_Assumptions'!$D$59,'1_Assumptions'!$D$58,0)</f>
        <v>10000</v>
      </c>
      <c r="AH39" s="14" t="n">
        <f aca="false">IF(AH$4&gt;='1_Assumptions'!$D$59,'1_Assumptions'!$D$58,0)</f>
        <v>10000</v>
      </c>
      <c r="AI39" s="14" t="n">
        <f aca="false">IF(AI$4&gt;='1_Assumptions'!$D$59,'1_Assumptions'!$D$58,0)</f>
        <v>10000</v>
      </c>
      <c r="AJ39" s="14" t="n">
        <f aca="false">IF(AJ$4&gt;='1_Assumptions'!$D$59,'1_Assumptions'!$D$58,0)</f>
        <v>10000</v>
      </c>
      <c r="AK39" s="14" t="n">
        <f aca="false">IF(AK$4&gt;='1_Assumptions'!$D$59,'1_Assumptions'!$D$58,0)</f>
        <v>10000</v>
      </c>
      <c r="AL39" s="14" t="n">
        <f aca="false">IF(AL$4&gt;='1_Assumptions'!$D$59,'1_Assumptions'!$D$58,0)</f>
        <v>10000</v>
      </c>
    </row>
    <row r="40" customFormat="false" ht="15" hidden="false" customHeight="false" outlineLevel="0" collapsed="false">
      <c r="B40" s="4" t="s">
        <v>272</v>
      </c>
      <c r="C40" s="14" t="n">
        <f aca="false">IF(AND('0_Control'!$B$5=2,C$4&gt;='1_Assumptions'!$D$42-2),'1_Assumptions'!$D$48,0)</f>
        <v>0</v>
      </c>
      <c r="D40" s="14" t="n">
        <f aca="false">IF(AND('0_Control'!$B$5=2,D$4&gt;='1_Assumptions'!$D$42-2),'1_Assumptions'!$D$48,0)</f>
        <v>0</v>
      </c>
      <c r="E40" s="14" t="n">
        <f aca="false">IF(AND('0_Control'!$B$5=2,E$4&gt;='1_Assumptions'!$D$42-2),'1_Assumptions'!$D$48,0)</f>
        <v>0</v>
      </c>
      <c r="F40" s="14" t="n">
        <f aca="false">IF(AND('0_Control'!$B$5=2,F$4&gt;='1_Assumptions'!$D$42-2),'1_Assumptions'!$D$48,0)</f>
        <v>0</v>
      </c>
      <c r="G40" s="14" t="n">
        <f aca="false">IF(AND('0_Control'!$B$5=2,G$4&gt;='1_Assumptions'!$D$42-2),'1_Assumptions'!$D$48,0)</f>
        <v>0</v>
      </c>
      <c r="H40" s="14" t="n">
        <f aca="false">IF(AND('0_Control'!$B$5=2,H$4&gt;='1_Assumptions'!$D$42-2),'1_Assumptions'!$D$48,0)</f>
        <v>0</v>
      </c>
      <c r="I40" s="14" t="n">
        <f aca="false">IF(AND('0_Control'!$B$5=2,I$4&gt;='1_Assumptions'!$D$42-2),'1_Assumptions'!$D$48,0)</f>
        <v>0</v>
      </c>
      <c r="J40" s="14" t="n">
        <f aca="false">IF(AND('0_Control'!$B$5=2,J$4&gt;='1_Assumptions'!$D$42-2),'1_Assumptions'!$D$48,0)</f>
        <v>0</v>
      </c>
      <c r="K40" s="14" t="n">
        <f aca="false">IF(AND('0_Control'!$B$5=2,K$4&gt;='1_Assumptions'!$D$42-2),'1_Assumptions'!$D$48,0)</f>
        <v>0</v>
      </c>
      <c r="L40" s="14" t="n">
        <f aca="false">IF(AND('0_Control'!$B$5=2,L$4&gt;='1_Assumptions'!$D$42-2),'1_Assumptions'!$D$48,0)</f>
        <v>0</v>
      </c>
      <c r="M40" s="14" t="n">
        <f aca="false">IF(AND('0_Control'!$B$5=2,M$4&gt;='1_Assumptions'!$D$42-2),'1_Assumptions'!$D$48,0)</f>
        <v>10000</v>
      </c>
      <c r="N40" s="14" t="n">
        <f aca="false">IF(AND('0_Control'!$B$5=2,N$4&gt;='1_Assumptions'!$D$42-2),'1_Assumptions'!$D$48,0)</f>
        <v>10000</v>
      </c>
      <c r="O40" s="14" t="n">
        <f aca="false">IF(AND('0_Control'!$B$5=2,O$4&gt;='1_Assumptions'!$D$42-2),'1_Assumptions'!$D$48,0)</f>
        <v>10000</v>
      </c>
      <c r="P40" s="14" t="n">
        <f aca="false">IF(AND('0_Control'!$B$5=2,P$4&gt;='1_Assumptions'!$D$42-2),'1_Assumptions'!$D$48,0)</f>
        <v>10000</v>
      </c>
      <c r="Q40" s="14" t="n">
        <f aca="false">IF(AND('0_Control'!$B$5=2,Q$4&gt;='1_Assumptions'!$D$42-2),'1_Assumptions'!$D$48,0)</f>
        <v>10000</v>
      </c>
      <c r="R40" s="14" t="n">
        <f aca="false">IF(AND('0_Control'!$B$5=2,R$4&gt;='1_Assumptions'!$D$42-2),'1_Assumptions'!$D$48,0)</f>
        <v>10000</v>
      </c>
      <c r="S40" s="14" t="n">
        <f aca="false">IF(AND('0_Control'!$B$5=2,S$4&gt;='1_Assumptions'!$D$42-2),'1_Assumptions'!$D$48,0)</f>
        <v>10000</v>
      </c>
      <c r="T40" s="14" t="n">
        <f aca="false">IF(AND('0_Control'!$B$5=2,T$4&gt;='1_Assumptions'!$D$42-2),'1_Assumptions'!$D$48,0)</f>
        <v>10000</v>
      </c>
      <c r="U40" s="14" t="n">
        <f aca="false">IF(AND('0_Control'!$B$5=2,U$4&gt;='1_Assumptions'!$D$42-2),'1_Assumptions'!$D$48,0)</f>
        <v>10000</v>
      </c>
      <c r="V40" s="14" t="n">
        <f aca="false">IF(AND('0_Control'!$B$5=2,V$4&gt;='1_Assumptions'!$D$42-2),'1_Assumptions'!$D$48,0)</f>
        <v>10000</v>
      </c>
      <c r="W40" s="14" t="n">
        <f aca="false">IF(AND('0_Control'!$B$5=2,W$4&gt;='1_Assumptions'!$D$42-2),'1_Assumptions'!$D$48,0)</f>
        <v>10000</v>
      </c>
      <c r="X40" s="14" t="n">
        <f aca="false">IF(AND('0_Control'!$B$5=2,X$4&gt;='1_Assumptions'!$D$42-2),'1_Assumptions'!$D$48,0)</f>
        <v>10000</v>
      </c>
      <c r="Y40" s="14" t="n">
        <f aca="false">IF(AND('0_Control'!$B$5=2,Y$4&gt;='1_Assumptions'!$D$42-2),'1_Assumptions'!$D$48,0)</f>
        <v>10000</v>
      </c>
      <c r="Z40" s="14" t="n">
        <f aca="false">IF(AND('0_Control'!$B$5=2,Z$4&gt;='1_Assumptions'!$D$42-2),'1_Assumptions'!$D$48,0)</f>
        <v>10000</v>
      </c>
      <c r="AA40" s="14" t="n">
        <f aca="false">IF(AND('0_Control'!$B$5=2,AA$4&gt;='1_Assumptions'!$D$42-2),'1_Assumptions'!$D$48,0)</f>
        <v>10000</v>
      </c>
      <c r="AB40" s="14" t="n">
        <f aca="false">IF(AND('0_Control'!$B$5=2,AB$4&gt;='1_Assumptions'!$D$42-2),'1_Assumptions'!$D$48,0)</f>
        <v>10000</v>
      </c>
      <c r="AC40" s="14" t="n">
        <f aca="false">IF(AND('0_Control'!$B$5=2,AC$4&gt;='1_Assumptions'!$D$42-2),'1_Assumptions'!$D$48,0)</f>
        <v>10000</v>
      </c>
      <c r="AD40" s="14" t="n">
        <f aca="false">IF(AND('0_Control'!$B$5=2,AD$4&gt;='1_Assumptions'!$D$42-2),'1_Assumptions'!$D$48,0)</f>
        <v>10000</v>
      </c>
      <c r="AE40" s="14" t="n">
        <f aca="false">IF(AND('0_Control'!$B$5=2,AE$4&gt;='1_Assumptions'!$D$42-2),'1_Assumptions'!$D$48,0)</f>
        <v>10000</v>
      </c>
      <c r="AF40" s="14" t="n">
        <f aca="false">IF(AND('0_Control'!$B$5=2,AF$4&gt;='1_Assumptions'!$D$42-2),'1_Assumptions'!$D$48,0)</f>
        <v>10000</v>
      </c>
      <c r="AG40" s="14" t="n">
        <f aca="false">IF(AND('0_Control'!$B$5=2,AG$4&gt;='1_Assumptions'!$D$42-2),'1_Assumptions'!$D$48,0)</f>
        <v>10000</v>
      </c>
      <c r="AH40" s="14" t="n">
        <f aca="false">IF(AND('0_Control'!$B$5=2,AH$4&gt;='1_Assumptions'!$D$42-2),'1_Assumptions'!$D$48,0)</f>
        <v>10000</v>
      </c>
      <c r="AI40" s="14" t="n">
        <f aca="false">IF(AND('0_Control'!$B$5=2,AI$4&gt;='1_Assumptions'!$D$42-2),'1_Assumptions'!$D$48,0)</f>
        <v>10000</v>
      </c>
      <c r="AJ40" s="14" t="n">
        <f aca="false">IF(AND('0_Control'!$B$5=2,AJ$4&gt;='1_Assumptions'!$D$42-2),'1_Assumptions'!$D$48,0)</f>
        <v>10000</v>
      </c>
      <c r="AK40" s="14" t="n">
        <f aca="false">IF(AND('0_Control'!$B$5=2,AK$4&gt;='1_Assumptions'!$D$42-2),'1_Assumptions'!$D$48,0)</f>
        <v>10000</v>
      </c>
      <c r="AL40" s="14" t="n">
        <f aca="false">IF(AND('0_Control'!$B$5=2,AL$4&gt;='1_Assumptions'!$D$42-2),'1_Assumptions'!$D$48,0)</f>
        <v>10000</v>
      </c>
    </row>
    <row r="41" customFormat="false" ht="15" hidden="false" customHeight="false" outlineLevel="0" collapsed="false">
      <c r="B41" s="4" t="s">
        <v>190</v>
      </c>
      <c r="C41" s="14" t="n">
        <f aca="false">SUM(C37:C40)*'1_Assumptions'!$D$60</f>
        <v>4950</v>
      </c>
      <c r="D41" s="14" t="n">
        <f aca="false">SUM(D37:D40)*'1_Assumptions'!$D$60</f>
        <v>4950</v>
      </c>
      <c r="E41" s="14" t="n">
        <f aca="false">SUM(E37:E40)*'1_Assumptions'!$D$60</f>
        <v>4950</v>
      </c>
      <c r="F41" s="14" t="n">
        <f aca="false">SUM(F37:F40)*'1_Assumptions'!$D$60</f>
        <v>4950</v>
      </c>
      <c r="G41" s="14" t="n">
        <f aca="false">SUM(G37:G40)*'1_Assumptions'!$D$60</f>
        <v>4950</v>
      </c>
      <c r="H41" s="14" t="n">
        <f aca="false">SUM(H37:H40)*'1_Assumptions'!$D$60</f>
        <v>4950</v>
      </c>
      <c r="I41" s="14" t="n">
        <f aca="false">SUM(I37:I40)*'1_Assumptions'!$D$60</f>
        <v>7300</v>
      </c>
      <c r="J41" s="14" t="n">
        <f aca="false">SUM(J37:J40)*'1_Assumptions'!$D$60</f>
        <v>7300</v>
      </c>
      <c r="K41" s="14" t="n">
        <f aca="false">SUM(K37:K40)*'1_Assumptions'!$D$60</f>
        <v>8300</v>
      </c>
      <c r="L41" s="14" t="n">
        <f aca="false">SUM(L37:L40)*'1_Assumptions'!$D$60</f>
        <v>8300</v>
      </c>
      <c r="M41" s="14" t="n">
        <f aca="false">SUM(M37:M40)*'1_Assumptions'!$D$60</f>
        <v>9300</v>
      </c>
      <c r="N41" s="14" t="n">
        <f aca="false">SUM(N37:N40)*'1_Assumptions'!$D$60</f>
        <v>9300</v>
      </c>
      <c r="O41" s="14" t="n">
        <f aca="false">SUM(O37:O40)*'1_Assumptions'!$D$60</f>
        <v>9300</v>
      </c>
      <c r="P41" s="14" t="n">
        <f aca="false">SUM(P37:P40)*'1_Assumptions'!$D$60</f>
        <v>9300</v>
      </c>
      <c r="Q41" s="14" t="n">
        <f aca="false">SUM(Q37:Q40)*'1_Assumptions'!$D$60</f>
        <v>9300</v>
      </c>
      <c r="R41" s="14" t="n">
        <f aca="false">SUM(R37:R40)*'1_Assumptions'!$D$60</f>
        <v>9300</v>
      </c>
      <c r="S41" s="14" t="n">
        <f aca="false">SUM(S37:S40)*'1_Assumptions'!$D$60</f>
        <v>9300</v>
      </c>
      <c r="T41" s="14" t="n">
        <f aca="false">SUM(T37:T40)*'1_Assumptions'!$D$60</f>
        <v>9300</v>
      </c>
      <c r="U41" s="14" t="n">
        <f aca="false">SUM(U37:U40)*'1_Assumptions'!$D$60</f>
        <v>9300</v>
      </c>
      <c r="V41" s="14" t="n">
        <f aca="false">SUM(V37:V40)*'1_Assumptions'!$D$60</f>
        <v>9300</v>
      </c>
      <c r="W41" s="14" t="n">
        <f aca="false">SUM(W37:W40)*'1_Assumptions'!$D$60</f>
        <v>9300</v>
      </c>
      <c r="X41" s="14" t="n">
        <f aca="false">SUM(X37:X40)*'1_Assumptions'!$D$60</f>
        <v>9300</v>
      </c>
      <c r="Y41" s="14" t="n">
        <f aca="false">SUM(Y37:Y40)*'1_Assumptions'!$D$60</f>
        <v>9300</v>
      </c>
      <c r="Z41" s="14" t="n">
        <f aca="false">SUM(Z37:Z40)*'1_Assumptions'!$D$60</f>
        <v>9300</v>
      </c>
      <c r="AA41" s="14" t="n">
        <f aca="false">SUM(AA37:AA40)*'1_Assumptions'!$D$60</f>
        <v>9300</v>
      </c>
      <c r="AB41" s="14" t="n">
        <f aca="false">SUM(AB37:AB40)*'1_Assumptions'!$D$60</f>
        <v>9300</v>
      </c>
      <c r="AC41" s="14" t="n">
        <f aca="false">SUM(AC37:AC40)*'1_Assumptions'!$D$60</f>
        <v>9300</v>
      </c>
      <c r="AD41" s="14" t="n">
        <f aca="false">SUM(AD37:AD40)*'1_Assumptions'!$D$60</f>
        <v>9300</v>
      </c>
      <c r="AE41" s="14" t="n">
        <f aca="false">SUM(AE37:AE40)*'1_Assumptions'!$D$60</f>
        <v>9300</v>
      </c>
      <c r="AF41" s="14" t="n">
        <f aca="false">SUM(AF37:AF40)*'1_Assumptions'!$D$60</f>
        <v>9300</v>
      </c>
      <c r="AG41" s="14" t="n">
        <f aca="false">SUM(AG37:AG40)*'1_Assumptions'!$D$60</f>
        <v>9300</v>
      </c>
      <c r="AH41" s="14" t="n">
        <f aca="false">SUM(AH37:AH40)*'1_Assumptions'!$D$60</f>
        <v>9300</v>
      </c>
      <c r="AI41" s="14" t="n">
        <f aca="false">SUM(AI37:AI40)*'1_Assumptions'!$D$60</f>
        <v>9300</v>
      </c>
      <c r="AJ41" s="14" t="n">
        <f aca="false">SUM(AJ37:AJ40)*'1_Assumptions'!$D$60</f>
        <v>9300</v>
      </c>
      <c r="AK41" s="14" t="n">
        <f aca="false">SUM(AK37:AK40)*'1_Assumptions'!$D$60</f>
        <v>9300</v>
      </c>
      <c r="AL41" s="14" t="n">
        <f aca="false">SUM(AL37:AL40)*'1_Assumptions'!$D$60</f>
        <v>9300</v>
      </c>
    </row>
    <row r="42" customFormat="false" ht="15" hidden="false" customHeight="false" outlineLevel="0" collapsed="false">
      <c r="B42" s="19" t="s">
        <v>273</v>
      </c>
      <c r="C42" s="14" t="n">
        <f aca="false">SUM(C37:C41)</f>
        <v>54450</v>
      </c>
      <c r="D42" s="14" t="n">
        <f aca="false">SUM(D37:D41)</f>
        <v>54450</v>
      </c>
      <c r="E42" s="14" t="n">
        <f aca="false">SUM(E37:E41)</f>
        <v>54450</v>
      </c>
      <c r="F42" s="14" t="n">
        <f aca="false">SUM(F37:F41)</f>
        <v>54450</v>
      </c>
      <c r="G42" s="14" t="n">
        <f aca="false">SUM(G37:G41)</f>
        <v>54450</v>
      </c>
      <c r="H42" s="14" t="n">
        <f aca="false">SUM(H37:H41)</f>
        <v>54450</v>
      </c>
      <c r="I42" s="14" t="n">
        <f aca="false">SUM(I37:I41)</f>
        <v>80300</v>
      </c>
      <c r="J42" s="14" t="n">
        <f aca="false">SUM(J37:J41)</f>
        <v>80300</v>
      </c>
      <c r="K42" s="14" t="n">
        <f aca="false">SUM(K37:K41)</f>
        <v>91300</v>
      </c>
      <c r="L42" s="14" t="n">
        <f aca="false">SUM(L37:L41)</f>
        <v>91300</v>
      </c>
      <c r="M42" s="14" t="n">
        <f aca="false">SUM(M37:M41)</f>
        <v>102300</v>
      </c>
      <c r="N42" s="14" t="n">
        <f aca="false">SUM(N37:N41)</f>
        <v>102300</v>
      </c>
      <c r="O42" s="14" t="n">
        <f aca="false">SUM(O37:O41)</f>
        <v>102300</v>
      </c>
      <c r="P42" s="14" t="n">
        <f aca="false">SUM(P37:P41)</f>
        <v>102300</v>
      </c>
      <c r="Q42" s="14" t="n">
        <f aca="false">SUM(Q37:Q41)</f>
        <v>102300</v>
      </c>
      <c r="R42" s="14" t="n">
        <f aca="false">SUM(R37:R41)</f>
        <v>102300</v>
      </c>
      <c r="S42" s="14" t="n">
        <f aca="false">SUM(S37:S41)</f>
        <v>102300</v>
      </c>
      <c r="T42" s="14" t="n">
        <f aca="false">SUM(T37:T41)</f>
        <v>102300</v>
      </c>
      <c r="U42" s="14" t="n">
        <f aca="false">SUM(U37:U41)</f>
        <v>102300</v>
      </c>
      <c r="V42" s="14" t="n">
        <f aca="false">SUM(V37:V41)</f>
        <v>102300</v>
      </c>
      <c r="W42" s="14" t="n">
        <f aca="false">SUM(W37:W41)</f>
        <v>102300</v>
      </c>
      <c r="X42" s="14" t="n">
        <f aca="false">SUM(X37:X41)</f>
        <v>102300</v>
      </c>
      <c r="Y42" s="14" t="n">
        <f aca="false">SUM(Y37:Y41)</f>
        <v>102300</v>
      </c>
      <c r="Z42" s="14" t="n">
        <f aca="false">SUM(Z37:Z41)</f>
        <v>102300</v>
      </c>
      <c r="AA42" s="14" t="n">
        <f aca="false">SUM(AA37:AA41)</f>
        <v>102300</v>
      </c>
      <c r="AB42" s="14" t="n">
        <f aca="false">SUM(AB37:AB41)</f>
        <v>102300</v>
      </c>
      <c r="AC42" s="14" t="n">
        <f aca="false">SUM(AC37:AC41)</f>
        <v>102300</v>
      </c>
      <c r="AD42" s="14" t="n">
        <f aca="false">SUM(AD37:AD41)</f>
        <v>102300</v>
      </c>
      <c r="AE42" s="14" t="n">
        <f aca="false">SUM(AE37:AE41)</f>
        <v>102300</v>
      </c>
      <c r="AF42" s="14" t="n">
        <f aca="false">SUM(AF37:AF41)</f>
        <v>102300</v>
      </c>
      <c r="AG42" s="14" t="n">
        <f aca="false">SUM(AG37:AG41)</f>
        <v>102300</v>
      </c>
      <c r="AH42" s="14" t="n">
        <f aca="false">SUM(AH37:AH41)</f>
        <v>102300</v>
      </c>
      <c r="AI42" s="14" t="n">
        <f aca="false">SUM(AI37:AI41)</f>
        <v>102300</v>
      </c>
      <c r="AJ42" s="14" t="n">
        <f aca="false">SUM(AJ37:AJ41)</f>
        <v>102300</v>
      </c>
      <c r="AK42" s="14" t="n">
        <f aca="false">SUM(AK37:AK41)</f>
        <v>102300</v>
      </c>
      <c r="AL42" s="14" t="n">
        <f aca="false">SUM(AL37:AL41)</f>
        <v>102300</v>
      </c>
    </row>
    <row r="44" customFormat="false" ht="15" hidden="false" customHeight="false" outlineLevel="0" collapsed="false">
      <c r="B44" s="19" t="s">
        <v>274</v>
      </c>
      <c r="C44" s="20" t="n">
        <f aca="false">C34-C42</f>
        <v>-54450</v>
      </c>
      <c r="D44" s="20" t="n">
        <f aca="false">D34-D42</f>
        <v>-54450</v>
      </c>
      <c r="E44" s="20" t="n">
        <f aca="false">E34-E42</f>
        <v>-114450</v>
      </c>
      <c r="F44" s="20" t="n">
        <f aca="false">F34-F42</f>
        <v>-114450</v>
      </c>
      <c r="G44" s="20" t="n">
        <f aca="false">G34-G42</f>
        <v>-114450</v>
      </c>
      <c r="H44" s="20" t="n">
        <f aca="false">H34-H42</f>
        <v>-114450</v>
      </c>
      <c r="I44" s="20" t="n">
        <f aca="false">I34-I42</f>
        <v>-116133</v>
      </c>
      <c r="J44" s="20" t="n">
        <f aca="false">J34-J42</f>
        <v>-116133</v>
      </c>
      <c r="K44" s="20" t="n">
        <f aca="false">K34-K42</f>
        <v>-127133</v>
      </c>
      <c r="L44" s="20" t="n">
        <f aca="false">L34-L42</f>
        <v>-127133</v>
      </c>
      <c r="M44" s="20" t="n">
        <f aca="false">M34-M42</f>
        <v>1221549.24982161</v>
      </c>
      <c r="N44" s="20" t="n">
        <f aca="false">N34-N42</f>
        <v>1221549.24982161</v>
      </c>
      <c r="O44" s="20" t="n">
        <f aca="false">O34-O42</f>
        <v>1364799.24982161</v>
      </c>
      <c r="P44" s="20" t="n">
        <f aca="false">P34-P42</f>
        <v>1364799.24982161</v>
      </c>
      <c r="Q44" s="20" t="n">
        <f aca="false">Q34-Q42</f>
        <v>1289799.24982161</v>
      </c>
      <c r="R44" s="20" t="n">
        <f aca="false">R34-R42</f>
        <v>1289799.24982161</v>
      </c>
      <c r="S44" s="20" t="n">
        <f aca="false">S34-S42</f>
        <v>1289799.24982161</v>
      </c>
      <c r="T44" s="20" t="n">
        <f aca="false">T34-T42</f>
        <v>1289799.24982161</v>
      </c>
      <c r="U44" s="20" t="n">
        <f aca="false">U34-U42</f>
        <v>133367</v>
      </c>
      <c r="V44" s="20" t="n">
        <f aca="false">V34-V42</f>
        <v>133367</v>
      </c>
      <c r="W44" s="20" t="n">
        <f aca="false">W34-W42</f>
        <v>133367</v>
      </c>
      <c r="X44" s="20" t="n">
        <f aca="false">X34-X42</f>
        <v>133367</v>
      </c>
      <c r="Y44" s="20" t="n">
        <f aca="false">Y34-Y42</f>
        <v>1834844.81227701</v>
      </c>
      <c r="Z44" s="20" t="n">
        <f aca="false">Z34-Z42</f>
        <v>1834844.81227701</v>
      </c>
      <c r="AA44" s="20" t="n">
        <f aca="false">AA34-AA42</f>
        <v>1834844.81227701</v>
      </c>
      <c r="AB44" s="20" t="n">
        <f aca="false">AB34-AB42</f>
        <v>1834844.81227701</v>
      </c>
      <c r="AC44" s="20" t="n">
        <f aca="false">AC34-AC42</f>
        <v>1744844.81227701</v>
      </c>
      <c r="AD44" s="20" t="n">
        <f aca="false">AD34-AD42</f>
        <v>1744844.81227701</v>
      </c>
      <c r="AE44" s="20" t="n">
        <f aca="false">AE34-AE42</f>
        <v>1744844.81227701</v>
      </c>
      <c r="AF44" s="20" t="n">
        <f aca="false">AF34-AF42</f>
        <v>1744844.81227701</v>
      </c>
      <c r="AG44" s="20" t="n">
        <f aca="false">AG34-AG42</f>
        <v>309367</v>
      </c>
      <c r="AH44" s="20" t="n">
        <f aca="false">AH34-AH42</f>
        <v>309367</v>
      </c>
      <c r="AI44" s="20" t="n">
        <f aca="false">AI34-AI42</f>
        <v>309367</v>
      </c>
      <c r="AJ44" s="20" t="n">
        <f aca="false">AJ34-AJ42</f>
        <v>309367</v>
      </c>
      <c r="AK44" s="20" t="n">
        <f aca="false">AK34-AK42</f>
        <v>2352640.37473241</v>
      </c>
      <c r="AL44" s="20" t="n">
        <f aca="false">AL34-AL42</f>
        <v>2352640.37473241</v>
      </c>
    </row>
    <row r="46" customFormat="false" ht="15" hidden="false" customHeight="false" outlineLevel="0" collapsed="false">
      <c r="B46" s="16" t="s">
        <v>275</v>
      </c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</row>
    <row r="47" customFormat="false" ht="15" hidden="false" customHeight="false" outlineLevel="0" collapsed="false">
      <c r="B47" s="4" t="s">
        <v>193</v>
      </c>
      <c r="C47" s="14" t="n">
        <f aca="false">IF(AND(C$4&gt;='1_Assumptions'!$D$62,C$4&lt;'1_Assumptions'!$D$62+'1_Assumptions'!$D$63),'1_Assumptions'!$D$61/'1_Assumptions'!$D$63,0)</f>
        <v>0</v>
      </c>
      <c r="D47" s="14" t="n">
        <f aca="false">IF(AND(D$4&gt;='1_Assumptions'!$D$62,D$4&lt;'1_Assumptions'!$D$62+'1_Assumptions'!$D$63),'1_Assumptions'!$D$61/'1_Assumptions'!$D$63,0)</f>
        <v>250000</v>
      </c>
      <c r="E47" s="14" t="n">
        <f aca="false">IF(AND(E$4&gt;='1_Assumptions'!$D$62,E$4&lt;'1_Assumptions'!$D$62+'1_Assumptions'!$D$63),'1_Assumptions'!$D$61/'1_Assumptions'!$D$63,0)</f>
        <v>250000</v>
      </c>
      <c r="F47" s="14" t="n">
        <f aca="false">IF(AND(F$4&gt;='1_Assumptions'!$D$62,F$4&lt;'1_Assumptions'!$D$62+'1_Assumptions'!$D$63),'1_Assumptions'!$D$61/'1_Assumptions'!$D$63,0)</f>
        <v>250000</v>
      </c>
      <c r="G47" s="14" t="n">
        <f aca="false">IF(AND(G$4&gt;='1_Assumptions'!$D$62,G$4&lt;'1_Assumptions'!$D$62+'1_Assumptions'!$D$63),'1_Assumptions'!$D$61/'1_Assumptions'!$D$63,0)</f>
        <v>250000</v>
      </c>
      <c r="H47" s="14" t="n">
        <f aca="false">IF(AND(H$4&gt;='1_Assumptions'!$D$62,H$4&lt;'1_Assumptions'!$D$62+'1_Assumptions'!$D$63),'1_Assumptions'!$D$61/'1_Assumptions'!$D$63,0)</f>
        <v>250000</v>
      </c>
      <c r="I47" s="14" t="n">
        <f aca="false">IF(AND(I$4&gt;='1_Assumptions'!$D$62,I$4&lt;'1_Assumptions'!$D$62+'1_Assumptions'!$D$63),'1_Assumptions'!$D$61/'1_Assumptions'!$D$63,0)</f>
        <v>0</v>
      </c>
      <c r="J47" s="14" t="n">
        <f aca="false">IF(AND(J$4&gt;='1_Assumptions'!$D$62,J$4&lt;'1_Assumptions'!$D$62+'1_Assumptions'!$D$63),'1_Assumptions'!$D$61/'1_Assumptions'!$D$63,0)</f>
        <v>0</v>
      </c>
      <c r="K47" s="14" t="n">
        <f aca="false">IF(AND(K$4&gt;='1_Assumptions'!$D$62,K$4&lt;'1_Assumptions'!$D$62+'1_Assumptions'!$D$63),'1_Assumptions'!$D$61/'1_Assumptions'!$D$63,0)</f>
        <v>0</v>
      </c>
      <c r="L47" s="14" t="n">
        <f aca="false">IF(AND(L$4&gt;='1_Assumptions'!$D$62,L$4&lt;'1_Assumptions'!$D$62+'1_Assumptions'!$D$63),'1_Assumptions'!$D$61/'1_Assumptions'!$D$63,0)</f>
        <v>0</v>
      </c>
      <c r="M47" s="14" t="n">
        <f aca="false">IF(AND(M$4&gt;='1_Assumptions'!$D$62,M$4&lt;'1_Assumptions'!$D$62+'1_Assumptions'!$D$63),'1_Assumptions'!$D$61/'1_Assumptions'!$D$63,0)</f>
        <v>0</v>
      </c>
      <c r="N47" s="14" t="n">
        <f aca="false">IF(AND(N$4&gt;='1_Assumptions'!$D$62,N$4&lt;'1_Assumptions'!$D$62+'1_Assumptions'!$D$63),'1_Assumptions'!$D$61/'1_Assumptions'!$D$63,0)</f>
        <v>0</v>
      </c>
      <c r="O47" s="14" t="n">
        <f aca="false">IF(AND(O$4&gt;='1_Assumptions'!$D$62,O$4&lt;'1_Assumptions'!$D$62+'1_Assumptions'!$D$63),'1_Assumptions'!$D$61/'1_Assumptions'!$D$63,0)</f>
        <v>0</v>
      </c>
      <c r="P47" s="14" t="n">
        <f aca="false">IF(AND(P$4&gt;='1_Assumptions'!$D$62,P$4&lt;'1_Assumptions'!$D$62+'1_Assumptions'!$D$63),'1_Assumptions'!$D$61/'1_Assumptions'!$D$63,0)</f>
        <v>0</v>
      </c>
      <c r="Q47" s="14" t="n">
        <f aca="false">IF(AND(Q$4&gt;='1_Assumptions'!$D$62,Q$4&lt;'1_Assumptions'!$D$62+'1_Assumptions'!$D$63),'1_Assumptions'!$D$61/'1_Assumptions'!$D$63,0)</f>
        <v>0</v>
      </c>
      <c r="R47" s="14" t="n">
        <f aca="false">IF(AND(R$4&gt;='1_Assumptions'!$D$62,R$4&lt;'1_Assumptions'!$D$62+'1_Assumptions'!$D$63),'1_Assumptions'!$D$61/'1_Assumptions'!$D$63,0)</f>
        <v>0</v>
      </c>
      <c r="S47" s="14" t="n">
        <f aca="false">IF(AND(S$4&gt;='1_Assumptions'!$D$62,S$4&lt;'1_Assumptions'!$D$62+'1_Assumptions'!$D$63),'1_Assumptions'!$D$61/'1_Assumptions'!$D$63,0)</f>
        <v>0</v>
      </c>
      <c r="T47" s="14" t="n">
        <f aca="false">IF(AND(T$4&gt;='1_Assumptions'!$D$62,T$4&lt;'1_Assumptions'!$D$62+'1_Assumptions'!$D$63),'1_Assumptions'!$D$61/'1_Assumptions'!$D$63,0)</f>
        <v>0</v>
      </c>
      <c r="U47" s="14" t="n">
        <f aca="false">IF(AND(U$4&gt;='1_Assumptions'!$D$62,U$4&lt;'1_Assumptions'!$D$62+'1_Assumptions'!$D$63),'1_Assumptions'!$D$61/'1_Assumptions'!$D$63,0)</f>
        <v>0</v>
      </c>
      <c r="V47" s="14" t="n">
        <f aca="false">IF(AND(V$4&gt;='1_Assumptions'!$D$62,V$4&lt;'1_Assumptions'!$D$62+'1_Assumptions'!$D$63),'1_Assumptions'!$D$61/'1_Assumptions'!$D$63,0)</f>
        <v>0</v>
      </c>
      <c r="W47" s="14" t="n">
        <f aca="false">IF(AND(W$4&gt;='1_Assumptions'!$D$62,W$4&lt;'1_Assumptions'!$D$62+'1_Assumptions'!$D$63),'1_Assumptions'!$D$61/'1_Assumptions'!$D$63,0)</f>
        <v>0</v>
      </c>
      <c r="X47" s="14" t="n">
        <f aca="false">IF(AND(X$4&gt;='1_Assumptions'!$D$62,X$4&lt;'1_Assumptions'!$D$62+'1_Assumptions'!$D$63),'1_Assumptions'!$D$61/'1_Assumptions'!$D$63,0)</f>
        <v>0</v>
      </c>
      <c r="Y47" s="14" t="n">
        <f aca="false">IF(AND(Y$4&gt;='1_Assumptions'!$D$62,Y$4&lt;'1_Assumptions'!$D$62+'1_Assumptions'!$D$63),'1_Assumptions'!$D$61/'1_Assumptions'!$D$63,0)</f>
        <v>0</v>
      </c>
      <c r="Z47" s="14" t="n">
        <f aca="false">IF(AND(Z$4&gt;='1_Assumptions'!$D$62,Z$4&lt;'1_Assumptions'!$D$62+'1_Assumptions'!$D$63),'1_Assumptions'!$D$61/'1_Assumptions'!$D$63,0)</f>
        <v>0</v>
      </c>
      <c r="AA47" s="14" t="n">
        <f aca="false">IF(AND(AA$4&gt;='1_Assumptions'!$D$62,AA$4&lt;'1_Assumptions'!$D$62+'1_Assumptions'!$D$63),'1_Assumptions'!$D$61/'1_Assumptions'!$D$63,0)</f>
        <v>0</v>
      </c>
      <c r="AB47" s="14" t="n">
        <f aca="false">IF(AND(AB$4&gt;='1_Assumptions'!$D$62,AB$4&lt;'1_Assumptions'!$D$62+'1_Assumptions'!$D$63),'1_Assumptions'!$D$61/'1_Assumptions'!$D$63,0)</f>
        <v>0</v>
      </c>
      <c r="AC47" s="14" t="n">
        <f aca="false">IF(AND(AC$4&gt;='1_Assumptions'!$D$62,AC$4&lt;'1_Assumptions'!$D$62+'1_Assumptions'!$D$63),'1_Assumptions'!$D$61/'1_Assumptions'!$D$63,0)</f>
        <v>0</v>
      </c>
      <c r="AD47" s="14" t="n">
        <f aca="false">IF(AND(AD$4&gt;='1_Assumptions'!$D$62,AD$4&lt;'1_Assumptions'!$D$62+'1_Assumptions'!$D$63),'1_Assumptions'!$D$61/'1_Assumptions'!$D$63,0)</f>
        <v>0</v>
      </c>
      <c r="AE47" s="14" t="n">
        <f aca="false">IF(AND(AE$4&gt;='1_Assumptions'!$D$62,AE$4&lt;'1_Assumptions'!$D$62+'1_Assumptions'!$D$63),'1_Assumptions'!$D$61/'1_Assumptions'!$D$63,0)</f>
        <v>0</v>
      </c>
      <c r="AF47" s="14" t="n">
        <f aca="false">IF(AND(AF$4&gt;='1_Assumptions'!$D$62,AF$4&lt;'1_Assumptions'!$D$62+'1_Assumptions'!$D$63),'1_Assumptions'!$D$61/'1_Assumptions'!$D$63,0)</f>
        <v>0</v>
      </c>
      <c r="AG47" s="14" t="n">
        <f aca="false">IF(AND(AG$4&gt;='1_Assumptions'!$D$62,AG$4&lt;'1_Assumptions'!$D$62+'1_Assumptions'!$D$63),'1_Assumptions'!$D$61/'1_Assumptions'!$D$63,0)</f>
        <v>0</v>
      </c>
      <c r="AH47" s="14" t="n">
        <f aca="false">IF(AND(AH$4&gt;='1_Assumptions'!$D$62,AH$4&lt;'1_Assumptions'!$D$62+'1_Assumptions'!$D$63),'1_Assumptions'!$D$61/'1_Assumptions'!$D$63,0)</f>
        <v>0</v>
      </c>
      <c r="AI47" s="14" t="n">
        <f aca="false">IF(AND(AI$4&gt;='1_Assumptions'!$D$62,AI$4&lt;'1_Assumptions'!$D$62+'1_Assumptions'!$D$63),'1_Assumptions'!$D$61/'1_Assumptions'!$D$63,0)</f>
        <v>0</v>
      </c>
      <c r="AJ47" s="14" t="n">
        <f aca="false">IF(AND(AJ$4&gt;='1_Assumptions'!$D$62,AJ$4&lt;'1_Assumptions'!$D$62+'1_Assumptions'!$D$63),'1_Assumptions'!$D$61/'1_Assumptions'!$D$63,0)</f>
        <v>0</v>
      </c>
      <c r="AK47" s="14" t="n">
        <f aca="false">IF(AND(AK$4&gt;='1_Assumptions'!$D$62,AK$4&lt;'1_Assumptions'!$D$62+'1_Assumptions'!$D$63),'1_Assumptions'!$D$61/'1_Assumptions'!$D$63,0)</f>
        <v>0</v>
      </c>
      <c r="AL47" s="14" t="n">
        <f aca="false">IF(AND(AL$4&gt;='1_Assumptions'!$D$62,AL$4&lt;'1_Assumptions'!$D$62+'1_Assumptions'!$D$63),'1_Assumptions'!$D$61/'1_Assumptions'!$D$63,0)</f>
        <v>0</v>
      </c>
    </row>
    <row r="48" customFormat="false" ht="15" hidden="false" customHeight="false" outlineLevel="0" collapsed="false">
      <c r="B48" s="4" t="s">
        <v>276</v>
      </c>
      <c r="C48" s="14" t="n">
        <f aca="false">(C25-0)*'1_Assumptions'!$D$64/30</f>
        <v>0</v>
      </c>
      <c r="D48" s="14" t="n">
        <f aca="false">(D25-C25)*'1_Assumptions'!$D$64/30</f>
        <v>0</v>
      </c>
      <c r="E48" s="14" t="n">
        <f aca="false">(E25-D25)*'1_Assumptions'!$D$64/30</f>
        <v>0</v>
      </c>
      <c r="F48" s="14" t="n">
        <f aca="false">(F25-E25)*'1_Assumptions'!$D$64/30</f>
        <v>0</v>
      </c>
      <c r="G48" s="14" t="n">
        <f aca="false">(G25-F25)*'1_Assumptions'!$D$64/30</f>
        <v>0</v>
      </c>
      <c r="H48" s="14" t="n">
        <f aca="false">(H25-G25)*'1_Assumptions'!$D$64/30</f>
        <v>0</v>
      </c>
      <c r="I48" s="14" t="n">
        <f aca="false">(I25-H25)*'1_Assumptions'!$D$64/30</f>
        <v>24167</v>
      </c>
      <c r="J48" s="14" t="n">
        <f aca="false">(J25-I25)*'1_Assumptions'!$D$64/30</f>
        <v>0</v>
      </c>
      <c r="K48" s="14" t="n">
        <f aca="false">(K25-J25)*'1_Assumptions'!$D$64/30</f>
        <v>0</v>
      </c>
      <c r="L48" s="14" t="n">
        <f aca="false">(L25-K25)*'1_Assumptions'!$D$64/30</f>
        <v>0</v>
      </c>
      <c r="M48" s="14" t="n">
        <f aca="false">(M25-L25)*'1_Assumptions'!$D$64/30</f>
        <v>1534123.0373397</v>
      </c>
      <c r="N48" s="14" t="n">
        <f aca="false">(N25-M25)*'1_Assumptions'!$D$64/30</f>
        <v>0</v>
      </c>
      <c r="O48" s="14" t="n">
        <f aca="false">(O25-N25)*'1_Assumptions'!$D$64/30</f>
        <v>315000</v>
      </c>
      <c r="P48" s="14" t="n">
        <f aca="false">(P25-O25)*'1_Assumptions'!$D$64/30</f>
        <v>0</v>
      </c>
      <c r="Q48" s="14" t="n">
        <f aca="false">(Q25-P25)*'1_Assumptions'!$D$64/30</f>
        <v>0</v>
      </c>
      <c r="R48" s="14" t="n">
        <f aca="false">(R25-Q25)*'1_Assumptions'!$D$64/30</f>
        <v>0</v>
      </c>
      <c r="S48" s="14" t="n">
        <f aca="false">(S25-R25)*'1_Assumptions'!$D$64/30</f>
        <v>0</v>
      </c>
      <c r="T48" s="14" t="n">
        <f aca="false">(T25-S25)*'1_Assumptions'!$D$64/30</f>
        <v>0</v>
      </c>
      <c r="U48" s="14" t="n">
        <f aca="false">(U25-T25)*'1_Assumptions'!$D$64/30</f>
        <v>-1219123.0373397</v>
      </c>
      <c r="V48" s="14" t="n">
        <f aca="false">(V25-U25)*'1_Assumptions'!$D$64/30</f>
        <v>0</v>
      </c>
      <c r="W48" s="14" t="n">
        <f aca="false">(W25-V25)*'1_Assumptions'!$D$64/30</f>
        <v>0</v>
      </c>
      <c r="X48" s="14" t="n">
        <f aca="false">(X25-W25)*'1_Assumptions'!$D$64/30</f>
        <v>0</v>
      </c>
      <c r="Y48" s="14" t="n">
        <f aca="false">(Y25-X25)*'1_Assumptions'!$D$64/30</f>
        <v>1917653.79667463</v>
      </c>
      <c r="Z48" s="14" t="n">
        <f aca="false">(Z25-Y25)*'1_Assumptions'!$D$64/30</f>
        <v>0</v>
      </c>
      <c r="AA48" s="14" t="n">
        <f aca="false">(AA25-Z25)*'1_Assumptions'!$D$64/30</f>
        <v>0</v>
      </c>
      <c r="AB48" s="14" t="n">
        <f aca="false">(AB25-AA25)*'1_Assumptions'!$D$64/30</f>
        <v>0</v>
      </c>
      <c r="AC48" s="14" t="n">
        <f aca="false">(AC25-AB25)*'1_Assumptions'!$D$64/30</f>
        <v>0</v>
      </c>
      <c r="AD48" s="14" t="n">
        <f aca="false">(AD25-AC25)*'1_Assumptions'!$D$64/30</f>
        <v>0</v>
      </c>
      <c r="AE48" s="14" t="n">
        <f aca="false">(AE25-AD25)*'1_Assumptions'!$D$64/30</f>
        <v>0</v>
      </c>
      <c r="AF48" s="14" t="n">
        <f aca="false">(AF25-AE25)*'1_Assumptions'!$D$64/30</f>
        <v>0</v>
      </c>
      <c r="AG48" s="14" t="n">
        <f aca="false">(AG25-AF25)*'1_Assumptions'!$D$64/30</f>
        <v>-1497653.79667463</v>
      </c>
      <c r="AH48" s="14" t="n">
        <f aca="false">(AH25-AG25)*'1_Assumptions'!$D$64/30</f>
        <v>0</v>
      </c>
      <c r="AI48" s="14" t="n">
        <f aca="false">(AI25-AH25)*'1_Assumptions'!$D$64/30</f>
        <v>0</v>
      </c>
      <c r="AJ48" s="14" t="n">
        <f aca="false">(AJ25-AI25)*'1_Assumptions'!$D$64/30</f>
        <v>0</v>
      </c>
      <c r="AK48" s="14" t="n">
        <f aca="false">(AK25-AJ25)*'1_Assumptions'!$D$64/30</f>
        <v>2301184.55600955</v>
      </c>
      <c r="AL48" s="14" t="n">
        <f aca="false">(AL25-AK25)*'1_Assumptions'!$D$64/30</f>
        <v>0</v>
      </c>
    </row>
    <row r="49" customFormat="false" ht="15" hidden="false" customHeight="false" outlineLevel="0" collapsed="false">
      <c r="B49" s="4" t="s">
        <v>277</v>
      </c>
      <c r="C49" s="14" t="n">
        <f aca="false">((C33+C42)-0)*'1_Assumptions'!$D$65/30</f>
        <v>27225</v>
      </c>
      <c r="D49" s="14" t="n">
        <f aca="false">((D33+D42)-(C33+C42))*'1_Assumptions'!$D$65/30</f>
        <v>0</v>
      </c>
      <c r="E49" s="14" t="n">
        <f aca="false">((E33+E42)-(D33+D42))*'1_Assumptions'!$D$65/30</f>
        <v>30000</v>
      </c>
      <c r="F49" s="14" t="n">
        <f aca="false">((F33+F42)-(E33+E42))*'1_Assumptions'!$D$65/30</f>
        <v>0</v>
      </c>
      <c r="G49" s="14" t="n">
        <f aca="false">((G33+G42)-(F33+F42))*'1_Assumptions'!$D$65/30</f>
        <v>0</v>
      </c>
      <c r="H49" s="14" t="n">
        <f aca="false">((H33+H42)-(G33+G42))*'1_Assumptions'!$D$65/30</f>
        <v>0</v>
      </c>
      <c r="I49" s="14" t="n">
        <f aca="false">((I33+I42)-(H33+H42))*'1_Assumptions'!$D$65/30</f>
        <v>12925</v>
      </c>
      <c r="J49" s="14" t="n">
        <f aca="false">((J33+J42)-(I33+I42))*'1_Assumptions'!$D$65/30</f>
        <v>0</v>
      </c>
      <c r="K49" s="14" t="n">
        <f aca="false">((K33+K42)-(J33+J42))*'1_Assumptions'!$D$65/30</f>
        <v>5500</v>
      </c>
      <c r="L49" s="14" t="n">
        <f aca="false">((L33+L42)-(K33+K42))*'1_Assumptions'!$D$65/30</f>
        <v>0</v>
      </c>
      <c r="M49" s="14" t="n">
        <f aca="false">((M33+M42)-(L33+L42))*'1_Assumptions'!$D$65/30</f>
        <v>92720.3937590475</v>
      </c>
      <c r="N49" s="14" t="n">
        <f aca="false">((N33+N42)-(M33+M42))*'1_Assumptions'!$D$65/30</f>
        <v>0</v>
      </c>
      <c r="O49" s="14" t="n">
        <f aca="false">((O33+O42)-(N33+N42))*'1_Assumptions'!$D$65/30</f>
        <v>85875</v>
      </c>
      <c r="P49" s="14" t="n">
        <f aca="false">((P33+P42)-(O33+O42))*'1_Assumptions'!$D$65/30</f>
        <v>0</v>
      </c>
      <c r="Q49" s="14" t="n">
        <f aca="false">((Q33+Q42)-(P33+P42))*'1_Assumptions'!$D$65/30</f>
        <v>37500</v>
      </c>
      <c r="R49" s="14" t="n">
        <f aca="false">((R33+R42)-(Q33+Q42))*'1_Assumptions'!$D$65/30</f>
        <v>0</v>
      </c>
      <c r="S49" s="14" t="n">
        <f aca="false">((S33+S42)-(R33+R42))*'1_Assumptions'!$D$65/30</f>
        <v>0</v>
      </c>
      <c r="T49" s="14" t="n">
        <f aca="false">((T33+T42)-(S33+S42))*'1_Assumptions'!$D$65/30</f>
        <v>0</v>
      </c>
      <c r="U49" s="14" t="n">
        <f aca="false">((U33+U42)-(T33+T42))*'1_Assumptions'!$D$65/30</f>
        <v>-31345.3937590475</v>
      </c>
      <c r="V49" s="14" t="n">
        <f aca="false">((V33+V42)-(U33+U42))*'1_Assumptions'!$D$65/30</f>
        <v>0</v>
      </c>
      <c r="W49" s="14" t="n">
        <f aca="false">((W33+W42)-(V33+V42))*'1_Assumptions'!$D$65/30</f>
        <v>0</v>
      </c>
      <c r="X49" s="14" t="n">
        <f aca="false">((X33+X42)-(W33+W42))*'1_Assumptions'!$D$65/30</f>
        <v>0</v>
      </c>
      <c r="Y49" s="14" t="n">
        <f aca="false">((Y33+Y42)-(X33+X42))*'1_Assumptions'!$D$65/30</f>
        <v>108087.992198809</v>
      </c>
      <c r="Z49" s="14" t="n">
        <f aca="false">((Z33+Z42)-(Y33+Y42))*'1_Assumptions'!$D$65/30</f>
        <v>0</v>
      </c>
      <c r="AA49" s="14" t="n">
        <f aca="false">((AA33+AA42)-(Z33+Z42))*'1_Assumptions'!$D$65/30</f>
        <v>0</v>
      </c>
      <c r="AB49" s="14" t="n">
        <f aca="false">((AB33+AB42)-(AA33+AA42))*'1_Assumptions'!$D$65/30</f>
        <v>0</v>
      </c>
      <c r="AC49" s="14" t="n">
        <f aca="false">((AC33+AC42)-(AB33+AB42))*'1_Assumptions'!$D$65/30</f>
        <v>45000</v>
      </c>
      <c r="AD49" s="14" t="n">
        <f aca="false">((AD33+AD42)-(AC33+AC42))*'1_Assumptions'!$D$65/30</f>
        <v>0</v>
      </c>
      <c r="AE49" s="14" t="n">
        <f aca="false">((AE33+AE42)-(AD33+AD42))*'1_Assumptions'!$D$65/30</f>
        <v>0</v>
      </c>
      <c r="AF49" s="14" t="n">
        <f aca="false">((AF33+AF42)-(AE33+AE42))*'1_Assumptions'!$D$65/30</f>
        <v>0</v>
      </c>
      <c r="AG49" s="14" t="n">
        <f aca="false">((AG33+AG42)-(AF33+AF42))*'1_Assumptions'!$D$65/30</f>
        <v>-31087.9921988093</v>
      </c>
      <c r="AH49" s="14" t="n">
        <f aca="false">((AH33+AH42)-(AG33+AG42))*'1_Assumptions'!$D$65/30</f>
        <v>0</v>
      </c>
      <c r="AI49" s="14" t="n">
        <f aca="false">((AI33+AI42)-(AH33+AH42))*'1_Assumptions'!$D$65/30</f>
        <v>0</v>
      </c>
      <c r="AJ49" s="14" t="n">
        <f aca="false">((AJ33+AJ42)-(AI33+AI42))*'1_Assumptions'!$D$65/30</f>
        <v>0</v>
      </c>
      <c r="AK49" s="14" t="n">
        <f aca="false">((AK33+AK42)-(AJ33+AJ42))*'1_Assumptions'!$D$65/30</f>
        <v>128955.590638571</v>
      </c>
      <c r="AL49" s="14" t="n">
        <f aca="false">((AL33+AL42)-(AK33+AK42))*'1_Assumptions'!$D$65/30</f>
        <v>0</v>
      </c>
    </row>
    <row r="50" customFormat="false" ht="15" hidden="false" customHeight="false" outlineLevel="0" collapsed="false">
      <c r="B50" s="4" t="s">
        <v>278</v>
      </c>
      <c r="C50" s="14" t="n">
        <f aca="false">0</f>
        <v>0</v>
      </c>
      <c r="D50" s="14" t="n">
        <f aca="false">0</f>
        <v>0</v>
      </c>
      <c r="E50" s="14" t="n">
        <f aca="false">0</f>
        <v>0</v>
      </c>
      <c r="F50" s="14" t="n">
        <f aca="false">0</f>
        <v>0</v>
      </c>
      <c r="G50" s="14" t="n">
        <f aca="false">0</f>
        <v>0</v>
      </c>
      <c r="H50" s="14" t="n">
        <f aca="false">0</f>
        <v>0</v>
      </c>
      <c r="I50" s="14" t="n">
        <f aca="false">0</f>
        <v>0</v>
      </c>
      <c r="J50" s="14" t="n">
        <f aca="false">0</f>
        <v>0</v>
      </c>
      <c r="K50" s="14" t="n">
        <f aca="false">0</f>
        <v>0</v>
      </c>
      <c r="L50" s="14" t="n">
        <f aca="false">0</f>
        <v>0</v>
      </c>
      <c r="M50" s="14" t="n">
        <f aca="false">0</f>
        <v>0</v>
      </c>
      <c r="N50" s="14" t="n">
        <f aca="false">MAX(0,(SUM(C44:N44)-SUM(C47:N47))*'1_Assumptions'!$D$66)</f>
        <v>41959.949892963</v>
      </c>
      <c r="O50" s="14" t="n">
        <f aca="false">0</f>
        <v>0</v>
      </c>
      <c r="P50" s="14" t="n">
        <f aca="false">0</f>
        <v>0</v>
      </c>
      <c r="Q50" s="14" t="n">
        <f aca="false">0</f>
        <v>0</v>
      </c>
      <c r="R50" s="14" t="n">
        <f aca="false">0</f>
        <v>0</v>
      </c>
      <c r="S50" s="14" t="n">
        <f aca="false">0</f>
        <v>0</v>
      </c>
      <c r="T50" s="14" t="n">
        <f aca="false">0</f>
        <v>0</v>
      </c>
      <c r="U50" s="14" t="n">
        <f aca="false">0</f>
        <v>0</v>
      </c>
      <c r="V50" s="14" t="n">
        <f aca="false">0</f>
        <v>0</v>
      </c>
      <c r="W50" s="14" t="n">
        <f aca="false">0</f>
        <v>0</v>
      </c>
      <c r="X50" s="14" t="n">
        <f aca="false">0</f>
        <v>0</v>
      </c>
      <c r="Y50" s="14" t="n">
        <f aca="false">0</f>
        <v>0</v>
      </c>
      <c r="Z50" s="14" t="n">
        <f aca="false">MAX(0,(SUM(O44:Z44)-SUM(O47:Z47))*'1_Assumptions'!$D$66)</f>
        <v>3627585.93704509</v>
      </c>
      <c r="AA50" s="14" t="n">
        <f aca="false">0</f>
        <v>0</v>
      </c>
      <c r="AB50" s="14" t="n">
        <f aca="false">0</f>
        <v>0</v>
      </c>
      <c r="AC50" s="14" t="n">
        <f aca="false">0</f>
        <v>0</v>
      </c>
      <c r="AD50" s="14" t="n">
        <f aca="false">0</f>
        <v>0</v>
      </c>
      <c r="AE50" s="14" t="n">
        <f aca="false">0</f>
        <v>0</v>
      </c>
      <c r="AF50" s="14" t="n">
        <f aca="false">0</f>
        <v>0</v>
      </c>
      <c r="AG50" s="14" t="n">
        <f aca="false">0</f>
        <v>0</v>
      </c>
      <c r="AH50" s="14" t="n">
        <f aca="false">0</f>
        <v>0</v>
      </c>
      <c r="AI50" s="14" t="n">
        <f aca="false">0</f>
        <v>0</v>
      </c>
      <c r="AJ50" s="14" t="n">
        <f aca="false">0</f>
        <v>0</v>
      </c>
      <c r="AK50" s="14" t="n">
        <f aca="false">0</f>
        <v>0</v>
      </c>
      <c r="AL50" s="14" t="n">
        <f aca="false">MAX(0,(SUM(AA44:AL44)-SUM(AA47:AL47))*'1_Assumptions'!$D$66)</f>
        <v>4977545.28693806</v>
      </c>
    </row>
    <row r="51" customFormat="false" ht="15" hidden="false" customHeight="false" outlineLevel="0" collapsed="false">
      <c r="B51" s="4" t="s">
        <v>279</v>
      </c>
      <c r="C51" s="21" t="n">
        <f aca="false">'0_Control'!$B$9</f>
        <v>5000000</v>
      </c>
      <c r="D51" s="21" t="n">
        <f aca="false">0</f>
        <v>0</v>
      </c>
      <c r="E51" s="21" t="n">
        <f aca="false">0</f>
        <v>0</v>
      </c>
      <c r="F51" s="21" t="n">
        <f aca="false">0</f>
        <v>0</v>
      </c>
      <c r="G51" s="21" t="n">
        <f aca="false">0</f>
        <v>0</v>
      </c>
      <c r="H51" s="21" t="n">
        <f aca="false">0</f>
        <v>0</v>
      </c>
      <c r="I51" s="21" t="n">
        <f aca="false">0</f>
        <v>0</v>
      </c>
      <c r="J51" s="21" t="n">
        <f aca="false">0</f>
        <v>0</v>
      </c>
      <c r="K51" s="21" t="n">
        <f aca="false">0</f>
        <v>0</v>
      </c>
      <c r="L51" s="21" t="n">
        <f aca="false">0</f>
        <v>0</v>
      </c>
      <c r="M51" s="21" t="n">
        <f aca="false">0</f>
        <v>0</v>
      </c>
      <c r="N51" s="21" t="n">
        <f aca="false">0</f>
        <v>0</v>
      </c>
      <c r="O51" s="21" t="n">
        <f aca="false">0</f>
        <v>0</v>
      </c>
      <c r="P51" s="21" t="n">
        <f aca="false">0</f>
        <v>0</v>
      </c>
      <c r="Q51" s="21" t="n">
        <f aca="false">0</f>
        <v>0</v>
      </c>
      <c r="R51" s="21" t="n">
        <f aca="false">0</f>
        <v>0</v>
      </c>
      <c r="S51" s="21" t="n">
        <f aca="false">0</f>
        <v>0</v>
      </c>
      <c r="T51" s="21" t="n">
        <f aca="false">0</f>
        <v>0</v>
      </c>
      <c r="U51" s="21" t="n">
        <f aca="false">0</f>
        <v>0</v>
      </c>
      <c r="V51" s="21" t="n">
        <f aca="false">0</f>
        <v>0</v>
      </c>
      <c r="W51" s="21" t="n">
        <f aca="false">0</f>
        <v>0</v>
      </c>
      <c r="X51" s="21" t="n">
        <f aca="false">0</f>
        <v>0</v>
      </c>
      <c r="Y51" s="21" t="n">
        <f aca="false">0</f>
        <v>0</v>
      </c>
      <c r="Z51" s="21" t="n">
        <f aca="false">0</f>
        <v>0</v>
      </c>
      <c r="AA51" s="21" t="n">
        <f aca="false">0</f>
        <v>0</v>
      </c>
      <c r="AB51" s="21" t="n">
        <f aca="false">0</f>
        <v>0</v>
      </c>
      <c r="AC51" s="21" t="n">
        <f aca="false">0</f>
        <v>0</v>
      </c>
      <c r="AD51" s="21" t="n">
        <f aca="false">0</f>
        <v>0</v>
      </c>
      <c r="AE51" s="21" t="n">
        <f aca="false">0</f>
        <v>0</v>
      </c>
      <c r="AF51" s="21" t="n">
        <f aca="false">0</f>
        <v>0</v>
      </c>
      <c r="AG51" s="21" t="n">
        <f aca="false">0</f>
        <v>0</v>
      </c>
      <c r="AH51" s="21" t="n">
        <f aca="false">0</f>
        <v>0</v>
      </c>
      <c r="AI51" s="21" t="n">
        <f aca="false">0</f>
        <v>0</v>
      </c>
      <c r="AJ51" s="21" t="n">
        <f aca="false">0</f>
        <v>0</v>
      </c>
      <c r="AK51" s="21" t="n">
        <f aca="false">0</f>
        <v>0</v>
      </c>
      <c r="AL51" s="21" t="n">
        <f aca="false">0</f>
        <v>0</v>
      </c>
    </row>
    <row r="52" customFormat="false" ht="15" hidden="false" customHeight="false" outlineLevel="0" collapsed="false">
      <c r="B52" s="4" t="s">
        <v>280</v>
      </c>
      <c r="C52" s="14" t="n">
        <f aca="false">C44-C47-C48+C49-C50+C51</f>
        <v>4972775</v>
      </c>
      <c r="D52" s="14" t="n">
        <f aca="false">D44-D47-D48+D49-D50+D51</f>
        <v>-304450</v>
      </c>
      <c r="E52" s="14" t="n">
        <f aca="false">E44-E47-E48+E49-E50+E51</f>
        <v>-334450</v>
      </c>
      <c r="F52" s="14" t="n">
        <f aca="false">F44-F47-F48+F49-F50+F51</f>
        <v>-364450</v>
      </c>
      <c r="G52" s="14" t="n">
        <f aca="false">G44-G47-G48+G49-G50+G51</f>
        <v>-364450</v>
      </c>
      <c r="H52" s="14" t="n">
        <f aca="false">H44-H47-H48+H49-H50+H51</f>
        <v>-364450</v>
      </c>
      <c r="I52" s="14" t="n">
        <f aca="false">I44-I47-I48+I49-I50+I51</f>
        <v>-127375</v>
      </c>
      <c r="J52" s="14" t="n">
        <f aca="false">J44-J47-J48+J49-J50+J51</f>
        <v>-116133</v>
      </c>
      <c r="K52" s="14" t="n">
        <f aca="false">K44-K47-K48+K49-K50+K51</f>
        <v>-121633</v>
      </c>
      <c r="L52" s="14" t="n">
        <f aca="false">L44-L47-L48+L49-L50+L51</f>
        <v>-127133</v>
      </c>
      <c r="M52" s="14" t="n">
        <f aca="false">M44-M47-M48+M49-M50+M51</f>
        <v>-219853.393759048</v>
      </c>
      <c r="N52" s="14" t="n">
        <f aca="false">N44-N47-N48+N49-N50+N51</f>
        <v>1179589.29992864</v>
      </c>
      <c r="O52" s="14" t="n">
        <f aca="false">O44-O47-O48+O49-O50+O51</f>
        <v>1135674.24982161</v>
      </c>
      <c r="P52" s="14" t="n">
        <f aca="false">P44-P47-P48+P49-P50+P51</f>
        <v>1364799.24982161</v>
      </c>
      <c r="Q52" s="14" t="n">
        <f aca="false">Q44-Q47-Q48+Q49-Q50+Q51</f>
        <v>1327299.24982161</v>
      </c>
      <c r="R52" s="14" t="n">
        <f aca="false">R44-R47-R48+R49-R50+R51</f>
        <v>1289799.24982161</v>
      </c>
      <c r="S52" s="14" t="n">
        <f aca="false">S44-S47-S48+S49-S50+S51</f>
        <v>1289799.24982161</v>
      </c>
      <c r="T52" s="14" t="n">
        <f aca="false">T44-T47-T48+T49-T50+T51</f>
        <v>1289799.24982161</v>
      </c>
      <c r="U52" s="14" t="n">
        <f aca="false">U44-U47-U48+U49-U50+U51</f>
        <v>1321144.64358065</v>
      </c>
      <c r="V52" s="14" t="n">
        <f aca="false">V44-V47-V48+V49-V50+V51</f>
        <v>133367</v>
      </c>
      <c r="W52" s="14" t="n">
        <f aca="false">W44-W47-W48+W49-W50+W51</f>
        <v>133367</v>
      </c>
      <c r="X52" s="14" t="n">
        <f aca="false">X44-X47-X48+X49-X50+X51</f>
        <v>133367</v>
      </c>
      <c r="Y52" s="14" t="n">
        <f aca="false">Y44-Y47-Y48+Y49-Y50+Y51</f>
        <v>25279.0078011908</v>
      </c>
      <c r="Z52" s="14" t="n">
        <f aca="false">Z44-Z47-Z48+Z49-Z50+Z51</f>
        <v>-1792741.12476809</v>
      </c>
      <c r="AA52" s="14" t="n">
        <f aca="false">AA44-AA47-AA48+AA49-AA50+AA51</f>
        <v>1834844.81227701</v>
      </c>
      <c r="AB52" s="14" t="n">
        <f aca="false">AB44-AB47-AB48+AB49-AB50+AB51</f>
        <v>1834844.81227701</v>
      </c>
      <c r="AC52" s="14" t="n">
        <f aca="false">AC44-AC47-AC48+AC49-AC50+AC51</f>
        <v>1789844.81227701</v>
      </c>
      <c r="AD52" s="14" t="n">
        <f aca="false">AD44-AD47-AD48+AD49-AD50+AD51</f>
        <v>1744844.81227701</v>
      </c>
      <c r="AE52" s="14" t="n">
        <f aca="false">AE44-AE47-AE48+AE49-AE50+AE51</f>
        <v>1744844.81227701</v>
      </c>
      <c r="AF52" s="14" t="n">
        <f aca="false">AF44-AF47-AF48+AF49-AF50+AF51</f>
        <v>1744844.81227701</v>
      </c>
      <c r="AG52" s="14" t="n">
        <f aca="false">AG44-AG47-AG48+AG49-AG50+AG51</f>
        <v>1775932.80447582</v>
      </c>
      <c r="AH52" s="14" t="n">
        <f aca="false">AH44-AH47-AH48+AH49-AH50+AH51</f>
        <v>309367</v>
      </c>
      <c r="AI52" s="14" t="n">
        <f aca="false">AI44-AI47-AI48+AI49-AI50+AI51</f>
        <v>309367</v>
      </c>
      <c r="AJ52" s="14" t="n">
        <f aca="false">AJ44-AJ47-AJ48+AJ49-AJ50+AJ51</f>
        <v>309367</v>
      </c>
      <c r="AK52" s="14" t="n">
        <f aca="false">AK44-AK47-AK48+AK49-AK50+AK51</f>
        <v>180411.409361428</v>
      </c>
      <c r="AL52" s="14" t="n">
        <f aca="false">AL44-AL47-AL48+AL49-AL50+AL51</f>
        <v>-2624904.91220565</v>
      </c>
    </row>
    <row r="53" customFormat="false" ht="15" hidden="false" customHeight="false" outlineLevel="0" collapsed="false">
      <c r="B53" s="19" t="s">
        <v>281</v>
      </c>
      <c r="C53" s="20" t="n">
        <f aca="false">C52</f>
        <v>4972775</v>
      </c>
      <c r="D53" s="20" t="n">
        <f aca="false">C53+D52</f>
        <v>4668325</v>
      </c>
      <c r="E53" s="20" t="n">
        <f aca="false">D53+E52</f>
        <v>4333875</v>
      </c>
      <c r="F53" s="20" t="n">
        <f aca="false">E53+F52</f>
        <v>3969425</v>
      </c>
      <c r="G53" s="20" t="n">
        <f aca="false">F53+G52</f>
        <v>3604975</v>
      </c>
      <c r="H53" s="20" t="n">
        <f aca="false">G53+H52</f>
        <v>3240525</v>
      </c>
      <c r="I53" s="20" t="n">
        <f aca="false">H53+I52</f>
        <v>3113150</v>
      </c>
      <c r="J53" s="20" t="n">
        <f aca="false">I53+J52</f>
        <v>2997017</v>
      </c>
      <c r="K53" s="20" t="n">
        <f aca="false">J53+K52</f>
        <v>2875384</v>
      </c>
      <c r="L53" s="20" t="n">
        <f aca="false">K53+L52</f>
        <v>2748251</v>
      </c>
      <c r="M53" s="20" t="n">
        <f aca="false">L53+M52</f>
        <v>2528397.60624095</v>
      </c>
      <c r="N53" s="20" t="n">
        <f aca="false">M53+N52</f>
        <v>3707986.90616959</v>
      </c>
      <c r="O53" s="20" t="n">
        <f aca="false">N53+O52</f>
        <v>4843661.1559912</v>
      </c>
      <c r="P53" s="20" t="n">
        <f aca="false">O53+P52</f>
        <v>6208460.40581281</v>
      </c>
      <c r="Q53" s="20" t="n">
        <f aca="false">P53+Q52</f>
        <v>7535759.65563441</v>
      </c>
      <c r="R53" s="20" t="n">
        <f aca="false">Q53+R52</f>
        <v>8825558.90545601</v>
      </c>
      <c r="S53" s="20" t="n">
        <f aca="false">R53+S52</f>
        <v>10115358.1552776</v>
      </c>
      <c r="T53" s="20" t="n">
        <f aca="false">S53+T52</f>
        <v>11405157.4050992</v>
      </c>
      <c r="U53" s="20" t="n">
        <f aca="false">T53+U52</f>
        <v>12726302.0486799</v>
      </c>
      <c r="V53" s="20" t="n">
        <f aca="false">U53+V52</f>
        <v>12859669.0486799</v>
      </c>
      <c r="W53" s="20" t="n">
        <f aca="false">V53+W52</f>
        <v>12993036.0486799</v>
      </c>
      <c r="X53" s="20" t="n">
        <f aca="false">W53+X52</f>
        <v>13126403.0486799</v>
      </c>
      <c r="Y53" s="20" t="n">
        <f aca="false">X53+Y52</f>
        <v>13151682.0564811</v>
      </c>
      <c r="Z53" s="20" t="n">
        <f aca="false">Y53+Z52</f>
        <v>11358940.931713</v>
      </c>
      <c r="AA53" s="20" t="n">
        <f aca="false">Z53+AA52</f>
        <v>13193785.74399</v>
      </c>
      <c r="AB53" s="20" t="n">
        <f aca="false">AA53+AB52</f>
        <v>15028630.556267</v>
      </c>
      <c r="AC53" s="20" t="n">
        <f aca="false">AB53+AC52</f>
        <v>16818475.368544</v>
      </c>
      <c r="AD53" s="20" t="n">
        <f aca="false">AC53+AD52</f>
        <v>18563320.180821</v>
      </c>
      <c r="AE53" s="20" t="n">
        <f aca="false">AD53+AE52</f>
        <v>20308164.993098</v>
      </c>
      <c r="AF53" s="20" t="n">
        <f aca="false">AE53+AF52</f>
        <v>22053009.805375</v>
      </c>
      <c r="AG53" s="20" t="n">
        <f aca="false">AF53+AG52</f>
        <v>23828942.6098508</v>
      </c>
      <c r="AH53" s="20" t="n">
        <f aca="false">AG53+AH52</f>
        <v>24138309.6098508</v>
      </c>
      <c r="AI53" s="20" t="n">
        <f aca="false">AH53+AI52</f>
        <v>24447676.6098508</v>
      </c>
      <c r="AJ53" s="20" t="n">
        <f aca="false">AI53+AJ52</f>
        <v>24757043.6098508</v>
      </c>
      <c r="AK53" s="20" t="n">
        <f aca="false">AJ53+AK52</f>
        <v>24937455.0192123</v>
      </c>
      <c r="AL53" s="20" t="n">
        <f aca="false">AK53+AL52</f>
        <v>22312550.1070066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8"/>
  </cols>
  <sheetData>
    <row r="1" customFormat="false" ht="15" hidden="false" customHeight="false" outlineLevel="0" collapsed="false">
      <c r="A1" s="1" t="s">
        <v>282</v>
      </c>
    </row>
    <row r="2" customFormat="false" ht="15" hidden="false" customHeight="false" outlineLevel="0" collapsed="false">
      <c r="A2" s="2" t="s">
        <v>283</v>
      </c>
    </row>
    <row r="4" customFormat="false" ht="15" hidden="false" customHeight="false" outlineLevel="0" collapsed="false">
      <c r="B4" s="3" t="s">
        <v>284</v>
      </c>
      <c r="C4" s="3" t="s">
        <v>285</v>
      </c>
      <c r="D4" s="3" t="s">
        <v>286</v>
      </c>
      <c r="E4" s="3" t="s">
        <v>287</v>
      </c>
    </row>
    <row r="5" customFormat="false" ht="15" hidden="false" customHeight="false" outlineLevel="0" collapsed="false">
      <c r="A5" s="4" t="s">
        <v>255</v>
      </c>
      <c r="B5" s="21" t="n">
        <f aca="false">SUM('2_Monthly_Model'!C19:T19)</f>
        <v>12562988.2987176</v>
      </c>
      <c r="C5" s="21" t="n">
        <f aca="false">SUM('2_Monthly_Model'!C19:N19)</f>
        <v>3213248.0746794</v>
      </c>
      <c r="D5" s="21" t="n">
        <f aca="false">SUM('2_Monthly_Model'!O19:Z19)</f>
        <v>13330049.8173875</v>
      </c>
      <c r="E5" s="21" t="n">
        <f aca="false">SUM('2_Monthly_Model'!AA19:AL19)</f>
        <v>16398295.8920669</v>
      </c>
    </row>
    <row r="6" customFormat="false" ht="15" hidden="false" customHeight="false" outlineLevel="0" collapsed="false">
      <c r="A6" s="4" t="s">
        <v>258</v>
      </c>
      <c r="B6" s="21" t="n">
        <f aca="false">SUM('2_Monthly_Model'!C23:T23)</f>
        <v>1890000</v>
      </c>
      <c r="C6" s="21" t="n">
        <f aca="false">SUM('2_Monthly_Model'!C23:N23)</f>
        <v>0</v>
      </c>
      <c r="D6" s="21" t="n">
        <f aca="false">SUM('2_Monthly_Model'!O23:Z23)</f>
        <v>5670000</v>
      </c>
      <c r="E6" s="21" t="n">
        <f aca="false">SUM('2_Monthly_Model'!AA23:AL23)</f>
        <v>10080000</v>
      </c>
    </row>
    <row r="7" customFormat="false" ht="15" hidden="false" customHeight="false" outlineLevel="0" collapsed="false">
      <c r="A7" s="19" t="s">
        <v>288</v>
      </c>
      <c r="B7" s="21" t="n">
        <f aca="false">SUM('2_Monthly_Model'!C25:T25)</f>
        <v>14452988.2987176</v>
      </c>
      <c r="C7" s="21" t="n">
        <f aca="false">SUM('2_Monthly_Model'!C25:N25)</f>
        <v>3213248.0746794</v>
      </c>
      <c r="D7" s="21" t="n">
        <f aca="false">SUM('2_Monthly_Model'!O25:Z25)</f>
        <v>19000049.8173875</v>
      </c>
      <c r="E7" s="21" t="n">
        <f aca="false">SUM('2_Monthly_Model'!AA25:AL25)</f>
        <v>26478295.8920669</v>
      </c>
    </row>
    <row r="8" customFormat="false" ht="15" hidden="false" customHeight="false" outlineLevel="0" collapsed="false">
      <c r="A8" s="4" t="s">
        <v>266</v>
      </c>
      <c r="B8" s="21" t="n">
        <f aca="false">SUM('2_Monthly_Model'!C33:T33)</f>
        <v>3686026.30014476</v>
      </c>
      <c r="C8" s="21" t="n">
        <f aca="false">SUM('2_Monthly_Model'!C33:N33)</f>
        <v>948881.57503619</v>
      </c>
      <c r="D8" s="21" t="n">
        <f aca="false">SUM('2_Monthly_Model'!O33:Z33)</f>
        <v>5680496.69390381</v>
      </c>
      <c r="E8" s="21" t="n">
        <f aca="false">SUM('2_Monthly_Model'!AA33:AL33)</f>
        <v>8658878.26894</v>
      </c>
    </row>
    <row r="9" customFormat="false" ht="15" hidden="false" customHeight="false" outlineLevel="0" collapsed="false">
      <c r="A9" s="4" t="s">
        <v>267</v>
      </c>
      <c r="B9" s="21" t="n">
        <f aca="false">SUM('2_Monthly_Model'!C34:T34)</f>
        <v>10766961.9985728</v>
      </c>
      <c r="C9" s="21" t="n">
        <f aca="false">SUM('2_Monthly_Model'!C34:N34)</f>
        <v>2264366.49964321</v>
      </c>
      <c r="D9" s="21" t="n">
        <f aca="false">SUM('2_Monthly_Model'!O34:Z34)</f>
        <v>13319553.1234836</v>
      </c>
      <c r="E9" s="21" t="n">
        <f aca="false">SUM('2_Monthly_Model'!AA34:AL34)</f>
        <v>17819417.6231269</v>
      </c>
    </row>
    <row r="10" customFormat="false" ht="15" hidden="false" customHeight="false" outlineLevel="0" collapsed="false">
      <c r="A10" s="4" t="s">
        <v>273</v>
      </c>
      <c r="B10" s="21" t="n">
        <f aca="false">SUM('2_Monthly_Model'!C42:T42)</f>
        <v>1488300</v>
      </c>
      <c r="C10" s="21" t="n">
        <f aca="false">SUM('2_Monthly_Model'!C42:N42)</f>
        <v>874500</v>
      </c>
      <c r="D10" s="21" t="n">
        <f aca="false">SUM('2_Monthly_Model'!O42:Z42)</f>
        <v>1227600</v>
      </c>
      <c r="E10" s="21" t="n">
        <f aca="false">SUM('2_Monthly_Model'!AA42:AL42)</f>
        <v>1227600</v>
      </c>
    </row>
    <row r="11" customFormat="false" ht="15" hidden="false" customHeight="false" outlineLevel="0" collapsed="false">
      <c r="A11" s="19" t="s">
        <v>274</v>
      </c>
      <c r="B11" s="21" t="n">
        <f aca="false">SUM('2_Monthly_Model'!C44:T44)</f>
        <v>9278661.99857284</v>
      </c>
      <c r="C11" s="21" t="n">
        <f aca="false">SUM('2_Monthly_Model'!C44:N44)</f>
        <v>1389866.49964321</v>
      </c>
      <c r="D11" s="21" t="n">
        <f aca="false">SUM('2_Monthly_Model'!O44:Z44)</f>
        <v>12091953.1234836</v>
      </c>
      <c r="E11" s="21" t="n">
        <f aca="false">SUM('2_Monthly_Model'!AA44:AL44)</f>
        <v>16591817.6231269</v>
      </c>
    </row>
    <row r="12" customFormat="false" ht="15" hidden="false" customHeight="false" outlineLevel="0" collapsed="false">
      <c r="A12" s="4" t="s">
        <v>193</v>
      </c>
      <c r="B12" s="21" t="n">
        <f aca="false">SUM('2_Monthly_Model'!C47:T47)</f>
        <v>1250000</v>
      </c>
      <c r="C12" s="21" t="n">
        <f aca="false">SUM('2_Monthly_Model'!C47:N47)</f>
        <v>1250000</v>
      </c>
      <c r="D12" s="21" t="n">
        <f aca="false">SUM('2_Monthly_Model'!O47:Z47)</f>
        <v>0</v>
      </c>
      <c r="E12" s="21" t="n">
        <f aca="false">SUM('2_Monthly_Model'!AA47:AL47)</f>
        <v>0</v>
      </c>
    </row>
    <row r="13" customFormat="false" ht="15" hidden="false" customHeight="false" outlineLevel="0" collapsed="false">
      <c r="A13" s="4" t="s">
        <v>289</v>
      </c>
      <c r="B13" s="21" t="n">
        <f aca="false">SUM('2_Monthly_Model'!C50:T50)</f>
        <v>41959.949892963</v>
      </c>
      <c r="C13" s="21" t="n">
        <f aca="false">SUM('2_Monthly_Model'!C50:N50)</f>
        <v>41959.949892963</v>
      </c>
      <c r="D13" s="21" t="n">
        <f aca="false">SUM('2_Monthly_Model'!O50:Z50)</f>
        <v>3627585.93704509</v>
      </c>
      <c r="E13" s="21" t="n">
        <f aca="false">SUM('2_Monthly_Model'!AA50:AL50)</f>
        <v>4977545.28693806</v>
      </c>
    </row>
    <row r="14" customFormat="false" ht="15" hidden="false" customHeight="false" outlineLevel="0" collapsed="false">
      <c r="A14" s="4" t="s">
        <v>290</v>
      </c>
      <c r="B14" s="21" t="n">
        <f aca="false">SUM('2_Monthly_Model'!C52:T52)</f>
        <v>11405157.4050992</v>
      </c>
      <c r="C14" s="21" t="n">
        <f aca="false">SUM('2_Monthly_Model'!C52:N52)</f>
        <v>3707986.90616959</v>
      </c>
      <c r="D14" s="21" t="n">
        <f aca="false">SUM('2_Monthly_Model'!O52:Z52)</f>
        <v>7650954.02554339</v>
      </c>
      <c r="E14" s="21" t="n">
        <f aca="false">SUM('2_Monthly_Model'!AA52:AL52)</f>
        <v>10953609.1752936</v>
      </c>
    </row>
    <row r="15" customFormat="false" ht="15" hidden="false" customHeight="false" outlineLevel="0" collapsed="false">
      <c r="A15" s="4" t="s">
        <v>291</v>
      </c>
      <c r="B15" s="12" t="n">
        <f aca="false">IF(B7=0,0,B11/B7)</f>
        <v>0.641989172536459</v>
      </c>
      <c r="C15" s="12" t="n">
        <f aca="false">IF(C7=0,0,C11/C7)</f>
        <v>0.432542544908203</v>
      </c>
      <c r="D15" s="12" t="n">
        <f aca="false">IF(D7=0,0,D11/D7)</f>
        <v>0.636416916781869</v>
      </c>
      <c r="E15" s="12" t="n">
        <f aca="false">IF(E7=0,0,E11/E7)</f>
        <v>0.62661954118044</v>
      </c>
    </row>
    <row r="16" customFormat="false" ht="15" hidden="false" customHeight="false" outlineLevel="0" collapsed="false">
      <c r="A16" s="4" t="s">
        <v>292</v>
      </c>
      <c r="B16" s="21" t="n">
        <f aca="false">'2_Monthly_Model'!T53</f>
        <v>11405157.4050992</v>
      </c>
      <c r="C16" s="21" t="n">
        <f aca="false">'2_Monthly_Model'!N53</f>
        <v>3707986.90616959</v>
      </c>
      <c r="D16" s="21" t="n">
        <f aca="false">'2_Monthly_Model'!Z53</f>
        <v>11358940.931713</v>
      </c>
      <c r="E16" s="21" t="n">
        <f aca="false">'2_Monthly_Model'!AL53</f>
        <v>22312550.1070066</v>
      </c>
    </row>
    <row r="18" customFormat="false" ht="15" hidden="false" customHeight="false" outlineLevel="0" collapsed="false">
      <c r="A18" s="22" t="s">
        <v>293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62"/>
  </cols>
  <sheetData>
    <row r="1" customFormat="false" ht="15" hidden="false" customHeight="false" outlineLevel="0" collapsed="false">
      <c r="A1" s="1" t="s">
        <v>294</v>
      </c>
    </row>
    <row r="2" customFormat="false" ht="15" hidden="false" customHeight="false" outlineLevel="0" collapsed="false">
      <c r="A2" s="2" t="s">
        <v>295</v>
      </c>
    </row>
    <row r="4" customFormat="false" ht="15" hidden="false" customHeight="false" outlineLevel="0" collapsed="false">
      <c r="A4" s="3" t="s">
        <v>296</v>
      </c>
      <c r="B4" s="3" t="s">
        <v>297</v>
      </c>
      <c r="C4" s="3" t="s">
        <v>298</v>
      </c>
      <c r="D4" s="3" t="s">
        <v>299</v>
      </c>
    </row>
    <row r="5" customFormat="false" ht="15" hidden="false" customHeight="false" outlineLevel="0" collapsed="false">
      <c r="A5" s="4" t="s">
        <v>300</v>
      </c>
      <c r="B5" s="6" t="n">
        <v>1750000</v>
      </c>
      <c r="C5" s="12" t="n">
        <f aca="false">B5/$B$10</f>
        <v>0.35</v>
      </c>
      <c r="D5" s="8" t="s">
        <v>301</v>
      </c>
    </row>
    <row r="6" customFormat="false" ht="15" hidden="false" customHeight="false" outlineLevel="0" collapsed="false">
      <c r="A6" s="4" t="s">
        <v>302</v>
      </c>
      <c r="B6" s="6" t="n">
        <v>1250000</v>
      </c>
      <c r="C6" s="12" t="n">
        <f aca="false">B6/$B$10</f>
        <v>0.25</v>
      </c>
      <c r="D6" s="8" t="s">
        <v>303</v>
      </c>
    </row>
    <row r="7" customFormat="false" ht="15" hidden="false" customHeight="false" outlineLevel="0" collapsed="false">
      <c r="A7" s="4" t="s">
        <v>304</v>
      </c>
      <c r="B7" s="6" t="n">
        <v>750000</v>
      </c>
      <c r="C7" s="12" t="n">
        <f aca="false">B7/$B$10</f>
        <v>0.15</v>
      </c>
      <c r="D7" s="8" t="s">
        <v>305</v>
      </c>
    </row>
    <row r="8" customFormat="false" ht="15" hidden="false" customHeight="false" outlineLevel="0" collapsed="false">
      <c r="A8" s="4" t="s">
        <v>306</v>
      </c>
      <c r="B8" s="6" t="n">
        <v>600000</v>
      </c>
      <c r="C8" s="12" t="n">
        <f aca="false">B8/$B$10</f>
        <v>0.12</v>
      </c>
      <c r="D8" s="8" t="s">
        <v>307</v>
      </c>
    </row>
    <row r="9" customFormat="false" ht="15" hidden="false" customHeight="false" outlineLevel="0" collapsed="false">
      <c r="A9" s="4" t="s">
        <v>308</v>
      </c>
      <c r="B9" s="6" t="n">
        <v>650000</v>
      </c>
      <c r="C9" s="12" t="n">
        <f aca="false">B9/$B$10</f>
        <v>0.13</v>
      </c>
      <c r="D9" s="8" t="s">
        <v>309</v>
      </c>
    </row>
    <row r="10" customFormat="false" ht="15" hidden="false" customHeight="false" outlineLevel="0" collapsed="false">
      <c r="A10" s="19" t="s">
        <v>310</v>
      </c>
      <c r="B10" s="20" t="n">
        <f aca="false">SUM(B5:B9)</f>
        <v>5000000</v>
      </c>
    </row>
    <row r="12" customFormat="false" ht="15" hidden="false" customHeight="false" outlineLevel="0" collapsed="false">
      <c r="A12" s="4" t="s">
        <v>311</v>
      </c>
      <c r="B12" s="21" t="n">
        <f aca="false">B10-'0_Control'!B9</f>
        <v>0</v>
      </c>
    </row>
    <row r="13" customFormat="false" ht="15" hidden="false" customHeight="false" outlineLevel="0" collapsed="false">
      <c r="A13" s="4" t="s">
        <v>312</v>
      </c>
      <c r="B13" s="21" t="n">
        <f aca="false">MIN('2_Monthly_Model'!C53:AL53)</f>
        <v>2528397.60624095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4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6"/>
  </cols>
  <sheetData>
    <row r="1" customFormat="false" ht="15" hidden="false" customHeight="false" outlineLevel="0" collapsed="false">
      <c r="A1" s="1" t="s">
        <v>313</v>
      </c>
    </row>
    <row r="2" customFormat="false" ht="15" hidden="false" customHeight="false" outlineLevel="0" collapsed="false">
      <c r="A2" s="2" t="s">
        <v>314</v>
      </c>
    </row>
    <row r="4" customFormat="false" ht="15" hidden="false" customHeight="false" outlineLevel="0" collapsed="false">
      <c r="A4" s="3" t="s">
        <v>315</v>
      </c>
      <c r="B4" s="3" t="s">
        <v>316</v>
      </c>
      <c r="C4" s="3" t="s">
        <v>317</v>
      </c>
      <c r="D4" s="3" t="s">
        <v>4</v>
      </c>
    </row>
    <row r="5" customFormat="false" ht="15" hidden="false" customHeight="false" outlineLevel="0" collapsed="false">
      <c r="A5" s="4" t="s">
        <v>318</v>
      </c>
      <c r="B5" s="21" t="n">
        <f aca="false">SUM('2_Monthly_Model'!C19:T19)</f>
        <v>12562988.2987176</v>
      </c>
      <c r="C5" s="21" t="n">
        <f aca="false">SUM('2_Monthly_Model'!C19:T19)+SUM('2_Monthly_Model'!C23:T23)</f>
        <v>14452988.2987176</v>
      </c>
      <c r="D5" s="8" t="s">
        <v>319</v>
      </c>
    </row>
    <row r="6" customFormat="false" ht="15" hidden="false" customHeight="false" outlineLevel="0" collapsed="false">
      <c r="A6" s="4" t="s">
        <v>320</v>
      </c>
      <c r="B6" s="21" t="n">
        <f aca="false">SUM('2_Monthly_Model'!O19:Z19)</f>
        <v>13330049.8173875</v>
      </c>
      <c r="C6" s="21" t="n">
        <f aca="false">SUM('2_Monthly_Model'!O25:Z25)</f>
        <v>19000049.8173875</v>
      </c>
      <c r="D6" s="8"/>
    </row>
    <row r="7" customFormat="false" ht="15" hidden="false" customHeight="false" outlineLevel="0" collapsed="false">
      <c r="A7" s="4" t="s">
        <v>321</v>
      </c>
      <c r="B7" s="21" t="n">
        <f aca="false">SUM('2_Monthly_Model'!AA19:AL19)</f>
        <v>16398295.8920669</v>
      </c>
      <c r="C7" s="21" t="n">
        <f aca="false">SUM('2_Monthly_Model'!AA25:AL25)</f>
        <v>26478295.8920669</v>
      </c>
      <c r="D7" s="8"/>
    </row>
    <row r="8" customFormat="false" ht="15" hidden="false" customHeight="false" outlineLevel="0" collapsed="false">
      <c r="A8" s="4" t="s">
        <v>322</v>
      </c>
      <c r="B8" s="21" t="n">
        <f aca="false">0</f>
        <v>0</v>
      </c>
      <c r="C8" s="21" t="n">
        <f aca="false">SUM('2_Monthly_Model'!C23:T23)-SUM('2_Monthly_Model'!C32:T32)</f>
        <v>1080000</v>
      </c>
      <c r="D8" s="8" t="s">
        <v>323</v>
      </c>
    </row>
    <row r="10" customFormat="false" ht="15" hidden="false" customHeight="false" outlineLevel="0" collapsed="false">
      <c r="A10" s="2" t="s">
        <v>324</v>
      </c>
    </row>
    <row r="12" customFormat="false" ht="15" hidden="false" customHeight="false" outlineLevel="0" collapsed="false">
      <c r="A12" s="3" t="s">
        <v>325</v>
      </c>
      <c r="B12" s="3" t="s">
        <v>326</v>
      </c>
      <c r="C12" s="3" t="s">
        <v>327</v>
      </c>
      <c r="D12" s="3" t="s">
        <v>315</v>
      </c>
      <c r="E12" s="3" t="s">
        <v>328</v>
      </c>
      <c r="F12" s="3" t="s">
        <v>329</v>
      </c>
      <c r="G12" s="3" t="s">
        <v>330</v>
      </c>
    </row>
    <row r="13" customFormat="false" ht="15" hidden="false" customHeight="false" outlineLevel="0" collapsed="false">
      <c r="A13" s="4" t="s">
        <v>331</v>
      </c>
      <c r="B13" s="5" t="s">
        <v>332</v>
      </c>
      <c r="C13" s="5" t="s">
        <v>333</v>
      </c>
      <c r="D13" s="4" t="s">
        <v>334</v>
      </c>
      <c r="E13" s="14" t="n">
        <f aca="false">'1_Assumptions'!$D$78</f>
        <v>12272984.2987176</v>
      </c>
      <c r="F13" s="14" t="n">
        <f aca="false">'1_Assumptions'!$D$78*'1_Assumptions'!$D$24/'1_Assumptions'!$D$27</f>
        <v>8181989.5324784</v>
      </c>
      <c r="G13" s="14" t="n">
        <f aca="false">F13-E13</f>
        <v>-4090994.7662392</v>
      </c>
    </row>
    <row r="14" customFormat="false" ht="15" hidden="false" customHeight="false" outlineLevel="0" collapsed="false">
      <c r="A14" s="4" t="s">
        <v>335</v>
      </c>
      <c r="B14" s="5" t="s">
        <v>332</v>
      </c>
      <c r="C14" s="5" t="s">
        <v>336</v>
      </c>
      <c r="D14" s="4" t="s">
        <v>334</v>
      </c>
      <c r="E14" s="14" t="n">
        <f aca="false">'1_Assumptions'!$D$78</f>
        <v>12272984.2987176</v>
      </c>
      <c r="F14" s="14" t="n">
        <f aca="false">'1_Assumptions'!$D$78/'1_Assumptions'!$D$27</f>
        <v>16363979.0649568</v>
      </c>
      <c r="G14" s="14" t="n">
        <f aca="false">F14-E14</f>
        <v>4090994.7662392</v>
      </c>
    </row>
    <row r="15" customFormat="false" ht="15" hidden="false" customHeight="false" outlineLevel="0" collapsed="false">
      <c r="A15" s="4" t="s">
        <v>337</v>
      </c>
      <c r="B15" s="5" t="n">
        <v>2094</v>
      </c>
      <c r="C15" s="5" t="n">
        <v>1675</v>
      </c>
      <c r="D15" s="4" t="s">
        <v>334</v>
      </c>
      <c r="E15" s="14" t="n">
        <f aca="false">'1_Assumptions'!$D$78</f>
        <v>12272984.2987176</v>
      </c>
      <c r="F15" s="14" t="n">
        <f aca="false">'1_Assumptions'!$D$78*0.8</f>
        <v>9818387.43897408</v>
      </c>
      <c r="G15" s="14" t="n">
        <f aca="false">F15-E15</f>
        <v>-2454596.85974352</v>
      </c>
    </row>
    <row r="16" customFormat="false" ht="15" hidden="false" customHeight="false" outlineLevel="0" collapsed="false">
      <c r="A16" s="4" t="s">
        <v>338</v>
      </c>
      <c r="B16" s="5" t="s">
        <v>332</v>
      </c>
      <c r="C16" s="5" t="s">
        <v>339</v>
      </c>
      <c r="D16" s="4" t="s">
        <v>334</v>
      </c>
      <c r="E16" s="14" t="n">
        <f aca="false">'1_Assumptions'!$D$78</f>
        <v>12272984.2987176</v>
      </c>
      <c r="F16" s="14" t="n">
        <f aca="false">'1_Assumptions'!$D$78*('1_Assumptions'!$D$23+(1-'1_Assumptions'!$D$23)*0.4)/'1_Assumptions'!$D$27</f>
        <v>11454785.3454698</v>
      </c>
      <c r="G16" s="14" t="n">
        <f aca="false">F16-E16</f>
        <v>-818198.953247841</v>
      </c>
    </row>
    <row r="17" customFormat="false" ht="15" hidden="false" customHeight="false" outlineLevel="0" collapsed="false">
      <c r="A17" s="4" t="s">
        <v>340</v>
      </c>
      <c r="B17" s="5" t="n">
        <v>10.5</v>
      </c>
      <c r="C17" s="5" t="n">
        <v>7.35</v>
      </c>
      <c r="D17" s="4" t="s">
        <v>341</v>
      </c>
      <c r="E17" s="14" t="n">
        <f aca="false">'1_Assumptions'!$D$44*12*1000*'1_Assumptions'!$D$46</f>
        <v>7560000</v>
      </c>
      <c r="F17" s="14" t="n">
        <f aca="false">'1_Assumptions'!$D$44*12*1000*7.35</f>
        <v>5292000</v>
      </c>
      <c r="G17" s="14" t="n">
        <f aca="false">F17-E17</f>
        <v>-2268000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1" t="s">
        <v>342</v>
      </c>
    </row>
    <row r="2" customFormat="false" ht="15" hidden="false" customHeight="false" outlineLevel="0" collapsed="false">
      <c r="A2" s="2" t="s">
        <v>343</v>
      </c>
    </row>
    <row r="4" customFormat="false" ht="15" hidden="false" customHeight="false" outlineLevel="0" collapsed="false">
      <c r="A4" s="3" t="s">
        <v>315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344</v>
      </c>
      <c r="B5" s="14" t="n">
        <f aca="false">'3_Annual_Summary'!E11</f>
        <v>16591817.6231269</v>
      </c>
      <c r="C5" s="8" t="s">
        <v>345</v>
      </c>
    </row>
    <row r="6" customFormat="false" ht="15" hidden="false" customHeight="false" outlineLevel="0" collapsed="false">
      <c r="A6" s="4" t="s">
        <v>346</v>
      </c>
      <c r="B6" s="14" t="n">
        <f aca="false">B5*'1_Assumptions'!$D$68</f>
        <v>99550905.7387611</v>
      </c>
      <c r="C6" s="8" t="s">
        <v>347</v>
      </c>
    </row>
    <row r="7" customFormat="false" ht="15" hidden="false" customHeight="false" outlineLevel="0" collapsed="false">
      <c r="A7" s="4" t="s">
        <v>348</v>
      </c>
      <c r="B7" s="14" t="n">
        <f aca="false">B5*8</f>
        <v>132734540.985015</v>
      </c>
      <c r="C7" s="8"/>
    </row>
    <row r="8" customFormat="false" ht="15" hidden="false" customHeight="false" outlineLevel="0" collapsed="false">
      <c r="A8" s="4" t="s">
        <v>349</v>
      </c>
      <c r="B8" s="14" t="n">
        <f aca="false">('2_Monthly_Model'!C44-'2_Monthly_Model'!C47-'2_Monthly_Model'!C50)/(1+((1+'1_Assumptions'!$D$67)^(1/12)-1))^1+('2_Monthly_Model'!D44-'2_Monthly_Model'!D47-'2_Monthly_Model'!D50)/(1+((1+'1_Assumptions'!$D$67)^(1/12)-1))^2+('2_Monthly_Model'!E44-'2_Monthly_Model'!E47-'2_Monthly_Model'!E50)/(1+((1+'1_Assumptions'!$D$67)^(1/12)-1))^3+('2_Monthly_Model'!F44-'2_Monthly_Model'!F47-'2_Monthly_Model'!F50)/(1+((1+'1_Assumptions'!$D$67)^(1/12)-1))^4+('2_Monthly_Model'!G44-'2_Monthly_Model'!G47-'2_Monthly_Model'!G50)/(1+((1+'1_Assumptions'!$D$67)^(1/12)-1))^5+('2_Monthly_Model'!H44-'2_Monthly_Model'!H47-'2_Monthly_Model'!H50)/(1+((1+'1_Assumptions'!$D$67)^(1/12)-1))^6+('2_Monthly_Model'!I44-'2_Monthly_Model'!I47-'2_Monthly_Model'!I50)/(1+((1+'1_Assumptions'!$D$67)^(1/12)-1))^7+('2_Monthly_Model'!J44-'2_Monthly_Model'!J47-'2_Monthly_Model'!J50)/(1+((1+'1_Assumptions'!$D$67)^(1/12)-1))^8+('2_Monthly_Model'!K44-'2_Monthly_Model'!K47-'2_Monthly_Model'!K50)/(1+((1+'1_Assumptions'!$D$67)^(1/12)-1))^9+('2_Monthly_Model'!L44-'2_Monthly_Model'!L47-'2_Monthly_Model'!L50)/(1+((1+'1_Assumptions'!$D$67)^(1/12)-1))^10+('2_Monthly_Model'!M44-'2_Monthly_Model'!M47-'2_Monthly_Model'!M50)/(1+((1+'1_Assumptions'!$D$67)^(1/12)-1))^11+('2_Monthly_Model'!N44-'2_Monthly_Model'!N47-'2_Monthly_Model'!N50)/(1+((1+'1_Assumptions'!$D$67)^(1/12)-1))^12+('2_Monthly_Model'!O44-'2_Monthly_Model'!O47-'2_Monthly_Model'!O50)/(1+((1+'1_Assumptions'!$D$67)^(1/12)-1))^13+('2_Monthly_Model'!P44-'2_Monthly_Model'!P47-'2_Monthly_Model'!P50)/(1+((1+'1_Assumptions'!$D$67)^(1/12)-1))^14+('2_Monthly_Model'!Q44-'2_Monthly_Model'!Q47-'2_Monthly_Model'!Q50)/(1+((1+'1_Assumptions'!$D$67)^(1/12)-1))^15+('2_Monthly_Model'!R44-'2_Monthly_Model'!R47-'2_Monthly_Model'!R50)/(1+((1+'1_Assumptions'!$D$67)^(1/12)-1))^16+('2_Monthly_Model'!S44-'2_Monthly_Model'!S47-'2_Monthly_Model'!S50)/(1+((1+'1_Assumptions'!$D$67)^(1/12)-1))^17+('2_Monthly_Model'!T44-'2_Monthly_Model'!T47-'2_Monthly_Model'!T50)/(1+((1+'1_Assumptions'!$D$67)^(1/12)-1))^18+('2_Monthly_Model'!U44-'2_Monthly_Model'!U47-'2_Monthly_Model'!U50)/(1+((1+'1_Assumptions'!$D$67)^(1/12)-1))^19+('2_Monthly_Model'!V44-'2_Monthly_Model'!V47-'2_Monthly_Model'!V50)/(1+((1+'1_Assumptions'!$D$67)^(1/12)-1))^20+('2_Monthly_Model'!W44-'2_Monthly_Model'!W47-'2_Monthly_Model'!W50)/(1+((1+'1_Assumptions'!$D$67)^(1/12)-1))^21+('2_Monthly_Model'!X44-'2_Monthly_Model'!X47-'2_Monthly_Model'!X50)/(1+((1+'1_Assumptions'!$D$67)^(1/12)-1))^22+('2_Monthly_Model'!Y44-'2_Monthly_Model'!Y47-'2_Monthly_Model'!Y50)/(1+((1+'1_Assumptions'!$D$67)^(1/12)-1))^23+('2_Monthly_Model'!Z44-'2_Monthly_Model'!Z47-'2_Monthly_Model'!Z50)/(1+((1+'1_Assumptions'!$D$67)^(1/12)-1))^24+('2_Monthly_Model'!AA44-'2_Monthly_Model'!AA47-'2_Monthly_Model'!AA50)/(1+((1+'1_Assumptions'!$D$67)^(1/12)-1))^25+('2_Monthly_Model'!AB44-'2_Monthly_Model'!AB47-'2_Monthly_Model'!AB50)/(1+((1+'1_Assumptions'!$D$67)^(1/12)-1))^26+('2_Monthly_Model'!AC44-'2_Monthly_Model'!AC47-'2_Monthly_Model'!AC50)/(1+((1+'1_Assumptions'!$D$67)^(1/12)-1))^27+('2_Monthly_Model'!AD44-'2_Monthly_Model'!AD47-'2_Monthly_Model'!AD50)/(1+((1+'1_Assumptions'!$D$67)^(1/12)-1))^28+('2_Monthly_Model'!AE44-'2_Monthly_Model'!AE47-'2_Monthly_Model'!AE50)/(1+((1+'1_Assumptions'!$D$67)^(1/12)-1))^29+('2_Monthly_Model'!AF44-'2_Monthly_Model'!AF47-'2_Monthly_Model'!AF50)/(1+((1+'1_Assumptions'!$D$67)^(1/12)-1))^30+('2_Monthly_Model'!AG44-'2_Monthly_Model'!AG47-'2_Monthly_Model'!AG50)/(1+((1+'1_Assumptions'!$D$67)^(1/12)-1))^31+('2_Monthly_Model'!AH44-'2_Monthly_Model'!AH47-'2_Monthly_Model'!AH50)/(1+((1+'1_Assumptions'!$D$67)^(1/12)-1))^32+('2_Monthly_Model'!AI44-'2_Monthly_Model'!AI47-'2_Monthly_Model'!AI50)/(1+((1+'1_Assumptions'!$D$67)^(1/12)-1))^33+('2_Monthly_Model'!AJ44-'2_Monthly_Model'!AJ47-'2_Monthly_Model'!AJ50)/(1+((1+'1_Assumptions'!$D$67)^(1/12)-1))^34+('2_Monthly_Model'!AK44-'2_Monthly_Model'!AK47-'2_Monthly_Model'!AK50)/(1+((1+'1_Assumptions'!$D$67)^(1/12)-1))^35+('2_Monthly_Model'!AL44-'2_Monthly_Model'!AL47-'2_Monthly_Model'!AL50)/(1+((1+'1_Assumptions'!$D$67)^(1/12)-1))^36</f>
        <v>13750167.8441359</v>
      </c>
      <c r="C8" s="8" t="s">
        <v>350</v>
      </c>
    </row>
    <row r="9" customFormat="false" ht="15" hidden="false" customHeight="false" outlineLevel="0" collapsed="false">
      <c r="A9" s="4" t="s">
        <v>351</v>
      </c>
      <c r="B9" s="14" t="n">
        <f aca="false">B6/(1+'1_Assumptions'!$D$67)^3</f>
        <v>54823369.4333232</v>
      </c>
      <c r="C9" s="8"/>
    </row>
    <row r="10" customFormat="false" ht="15" hidden="false" customHeight="false" outlineLevel="0" collapsed="false">
      <c r="A10" s="4" t="s">
        <v>352</v>
      </c>
      <c r="B10" s="14" t="n">
        <f aca="false">B8+B9</f>
        <v>68573537.2774592</v>
      </c>
      <c r="C10" s="8" t="s">
        <v>353</v>
      </c>
    </row>
    <row r="11" customFormat="false" ht="15" hidden="false" customHeight="false" outlineLevel="0" collapsed="false">
      <c r="A11" s="4" t="s">
        <v>354</v>
      </c>
      <c r="B11" s="23" t="n">
        <f aca="false">B10/'0_Control'!B9</f>
        <v>13.7147074554918</v>
      </c>
      <c r="C11" s="8" t="s">
        <v>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2026-06-04T16:28:46Z</dcterms:created>
  <dc:creator>openpyxl</dc:creator>
  <dc:description/>
  <dc:language>en-US</dc:language>
  <cp:lastModifiedBy/>
  <dcterms:modified xsi:type="dcterms:W3CDTF">2026-06-04T16:28:46Z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